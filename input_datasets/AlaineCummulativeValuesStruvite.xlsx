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ineperdomo/Desktop/UF (Desktop)/NRG/"/>
    </mc:Choice>
  </mc:AlternateContent>
  <xr:revisionPtr revIDLastSave="0" documentId="13_ncr:1_{51BF74D7-AE57-EC42-8C6D-BC3532802248}" xr6:coauthVersionLast="47" xr6:coauthVersionMax="47" xr10:uidLastSave="{00000000-0000-0000-0000-000000000000}"/>
  <bookViews>
    <workbookView xWindow="0" yWindow="680" windowWidth="17580" windowHeight="19760" xr2:uid="{5E3C9D05-C5CC-6747-895D-CFDF0F0CF613}"/>
  </bookViews>
  <sheets>
    <sheet name="Electrosynthesized Pure Struvit" sheetId="2" r:id="rId1"/>
    <sheet name="EPSRawData" sheetId="3" r:id="rId2"/>
    <sheet name="Struvite + NAHCO3" sheetId="1" r:id="rId3"/>
    <sheet name="SNAHCO3RawData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2" l="1" a="1"/>
  <c r="K37" i="2" s="1"/>
  <c r="J38" i="2"/>
  <c r="J39" i="2"/>
  <c r="J40" i="2"/>
  <c r="J41" i="2"/>
  <c r="J42" i="2"/>
  <c r="J43" i="2"/>
  <c r="J44" i="2"/>
  <c r="J45" i="2"/>
  <c r="J46" i="2"/>
  <c r="J37" i="2"/>
  <c r="I38" i="2"/>
  <c r="I39" i="2"/>
  <c r="I40" i="2"/>
  <c r="I41" i="2"/>
  <c r="I42" i="2"/>
  <c r="I43" i="2"/>
  <c r="I44" i="2"/>
  <c r="I45" i="2"/>
  <c r="I46" i="2"/>
  <c r="I37" i="2"/>
  <c r="H38" i="2"/>
  <c r="H39" i="2"/>
  <c r="H40" i="2"/>
  <c r="H41" i="2"/>
  <c r="H42" i="2"/>
  <c r="H43" i="2"/>
  <c r="H44" i="2"/>
  <c r="H45" i="2"/>
  <c r="H46" i="2"/>
  <c r="H37" i="2"/>
  <c r="G38" i="2"/>
  <c r="G39" i="2"/>
  <c r="G40" i="2"/>
  <c r="G41" i="2"/>
  <c r="G42" i="2"/>
  <c r="G43" i="2"/>
  <c r="G44" i="2"/>
  <c r="G45" i="2"/>
  <c r="E38" i="2"/>
  <c r="E39" i="2"/>
  <c r="E40" i="2"/>
  <c r="E41" i="2"/>
  <c r="E42" i="2"/>
  <c r="E43" i="2"/>
  <c r="F43" i="2" s="1"/>
  <c r="E44" i="2"/>
  <c r="F44" i="2" s="1"/>
  <c r="E45" i="2"/>
  <c r="F45" i="2" s="1"/>
  <c r="E37" i="2"/>
  <c r="F38" i="2"/>
  <c r="F39" i="2"/>
  <c r="F40" i="2"/>
  <c r="F41" i="2"/>
  <c r="F42" i="2"/>
  <c r="F37" i="2"/>
  <c r="G37" i="2" s="1"/>
  <c r="D38" i="2"/>
  <c r="D39" i="2"/>
  <c r="D40" i="2"/>
  <c r="D41" i="2"/>
  <c r="D42" i="2"/>
  <c r="D43" i="2"/>
  <c r="D44" i="2"/>
  <c r="D45" i="2"/>
  <c r="D46" i="2"/>
  <c r="D37" i="2"/>
  <c r="R21" i="2"/>
  <c r="R22" i="2"/>
  <c r="R23" i="2"/>
  <c r="R24" i="2"/>
  <c r="R25" i="2"/>
  <c r="R26" i="2"/>
  <c r="R27" i="2"/>
  <c r="R28" i="2"/>
  <c r="R29" i="2"/>
  <c r="Q21" i="2"/>
  <c r="Q22" i="2"/>
  <c r="Q23" i="2"/>
  <c r="Q24" i="2"/>
  <c r="Q25" i="2"/>
  <c r="Q26" i="2"/>
  <c r="Q27" i="2"/>
  <c r="Q28" i="2"/>
  <c r="Q29" i="2"/>
  <c r="P21" i="2"/>
  <c r="P22" i="2"/>
  <c r="P23" i="2"/>
  <c r="P24" i="2"/>
  <c r="P25" i="2"/>
  <c r="P26" i="2"/>
  <c r="P27" i="2"/>
  <c r="P28" i="2"/>
  <c r="R20" i="2"/>
  <c r="Q20" i="2"/>
  <c r="P20" i="2"/>
  <c r="H25" i="1"/>
  <c r="G25" i="1"/>
  <c r="F25" i="1"/>
  <c r="E25" i="1"/>
  <c r="D25" i="1"/>
  <c r="C25" i="1"/>
  <c r="D24" i="1"/>
  <c r="E24" i="1"/>
  <c r="F24" i="1"/>
  <c r="G24" i="1"/>
  <c r="H24" i="1"/>
  <c r="J19" i="1"/>
  <c r="K19" i="1"/>
  <c r="I19" i="1"/>
  <c r="F20" i="1"/>
  <c r="G20" i="1"/>
  <c r="H20" i="1"/>
  <c r="F21" i="1"/>
  <c r="G21" i="1"/>
  <c r="H21" i="1"/>
  <c r="F22" i="1"/>
  <c r="G22" i="1"/>
  <c r="H22" i="1"/>
  <c r="F23" i="1"/>
  <c r="G23" i="1"/>
  <c r="H23" i="1"/>
  <c r="F26" i="1"/>
  <c r="G26" i="1"/>
  <c r="H26" i="1"/>
  <c r="F27" i="1"/>
  <c r="G27" i="1"/>
  <c r="H27" i="1"/>
  <c r="F28" i="1"/>
  <c r="G28" i="1"/>
  <c r="H28" i="1"/>
  <c r="F29" i="1"/>
  <c r="G29" i="1"/>
  <c r="H29" i="1"/>
  <c r="G19" i="1"/>
  <c r="H19" i="1"/>
  <c r="F19" i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C26" i="1"/>
  <c r="D26" i="1"/>
  <c r="E26" i="1"/>
  <c r="C27" i="1"/>
  <c r="D27" i="1"/>
  <c r="E27" i="1"/>
  <c r="C28" i="1"/>
  <c r="D28" i="1"/>
  <c r="E28" i="1"/>
  <c r="C29" i="1"/>
  <c r="D29" i="1"/>
  <c r="E29" i="1"/>
  <c r="D19" i="1"/>
  <c r="E19" i="1"/>
  <c r="C19" i="1"/>
  <c r="N14" i="1"/>
  <c r="K29" i="1"/>
  <c r="M14" i="1"/>
  <c r="J29" i="1"/>
  <c r="L14" i="1"/>
  <c r="I29" i="1" s="1"/>
  <c r="N13" i="1"/>
  <c r="K28" i="1"/>
  <c r="M13" i="1"/>
  <c r="J28" i="1" s="1"/>
  <c r="L13" i="1"/>
  <c r="I28" i="1"/>
  <c r="N12" i="1"/>
  <c r="K27" i="1"/>
  <c r="M12" i="1"/>
  <c r="J27" i="1"/>
  <c r="L12" i="1"/>
  <c r="I27" i="1"/>
  <c r="N11" i="1"/>
  <c r="K26" i="1"/>
  <c r="M11" i="1"/>
  <c r="J26" i="1"/>
  <c r="L11" i="1"/>
  <c r="I26" i="1"/>
  <c r="N10" i="1"/>
  <c r="K25" i="1"/>
  <c r="M10" i="1"/>
  <c r="J25" i="1"/>
  <c r="L10" i="1"/>
  <c r="I25" i="1"/>
  <c r="N9" i="1"/>
  <c r="K24" i="1"/>
  <c r="M9" i="1"/>
  <c r="J24" i="1"/>
  <c r="L9" i="1"/>
  <c r="I24" i="1"/>
  <c r="N8" i="1"/>
  <c r="K23" i="1"/>
  <c r="M8" i="1"/>
  <c r="J23" i="1"/>
  <c r="L8" i="1"/>
  <c r="I23" i="1"/>
  <c r="N7" i="1"/>
  <c r="K22" i="1"/>
  <c r="M7" i="1"/>
  <c r="J22" i="1"/>
  <c r="L7" i="1"/>
  <c r="I22" i="1"/>
  <c r="N6" i="1"/>
  <c r="K21" i="1"/>
  <c r="M6" i="1"/>
  <c r="J21" i="1"/>
  <c r="L6" i="1"/>
  <c r="I21" i="1"/>
  <c r="N5" i="1"/>
  <c r="K20" i="1"/>
  <c r="M5" i="1"/>
  <c r="J20" i="1"/>
  <c r="L5" i="1"/>
  <c r="I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<sst xmlns="http://schemas.openxmlformats.org/spreadsheetml/2006/main" count="55" uniqueCount="30">
  <si>
    <t>Mg</t>
  </si>
  <si>
    <t>NH4</t>
  </si>
  <si>
    <t>PO4</t>
  </si>
  <si>
    <t>PO4 (undiluted)</t>
  </si>
  <si>
    <t>Percentages</t>
  </si>
  <si>
    <t xml:space="preserve"> </t>
  </si>
  <si>
    <t>Time</t>
  </si>
  <si>
    <t>Raw Data</t>
  </si>
  <si>
    <t>F</t>
  </si>
  <si>
    <t>1-F</t>
  </si>
  <si>
    <t>ln(1-F)</t>
  </si>
  <si>
    <t>√t</t>
  </si>
  <si>
    <t>ln(t)</t>
  </si>
  <si>
    <t>log(t)</t>
  </si>
  <si>
    <t>log(F)</t>
  </si>
  <si>
    <t>Model Calculation (PO4)</t>
  </si>
  <si>
    <t xml:space="preserve">Percentage </t>
  </si>
  <si>
    <t>Percentage Average</t>
  </si>
  <si>
    <t>T</t>
  </si>
  <si>
    <t>Plots</t>
  </si>
  <si>
    <t xml:space="preserve">First Order Model </t>
  </si>
  <si>
    <t>Mg_1</t>
  </si>
  <si>
    <t>Mg_2</t>
  </si>
  <si>
    <t>Mg_3</t>
  </si>
  <si>
    <t>NH4_1</t>
  </si>
  <si>
    <t>NH4_2</t>
  </si>
  <si>
    <t>NH4_3</t>
  </si>
  <si>
    <t>PO4_1</t>
  </si>
  <si>
    <t>PO4_2</t>
  </si>
  <si>
    <t>PO4_3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</si>
</sst>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0" xfId="0" applyFont="1"/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Ion Release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'Electrosynthesized Pure Struvit'!$P$19</c:f>
              <c:strCache>
                <c:ptCount val="1"/>
                <c:pt idx="0">
                  <c:v>Mg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'Electrosynthesized Pure Struvit'!$O$20:$O$31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24.5</c:v>
                </c:pt>
                <c:pt idx="8">
                  <c:v>32</c:v>
                </c:pt>
                <c:pt idx="9">
                  <c:v>48.5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'Electrosynthesized Pure Struvit'!$P$20:$P$31</c:f>
              <c:numCache>
                <c:formatCode>General</c:formatCode>
                <c:ptCount val="12"/>
                <c:pt idx="0">
                  <c:v>0</c:v>
                </c:pt>
                <c:pt idx="1">
                  <c:v>20.202021133333336</c:v>
                </c:pt>
                <c:pt idx="2">
                  <c:v>23.905724806666665</c:v>
                </c:pt>
                <c:pt idx="3">
                  <c:v>34.006734876666663</c:v>
                </c:pt>
                <c:pt idx="4">
                  <c:v>38.720540256666673</c:v>
                </c:pt>
                <c:pt idx="5">
                  <c:v>45.79124731666667</c:v>
                </c:pt>
                <c:pt idx="6">
                  <c:v>42.76094359333333</c:v>
                </c:pt>
                <c:pt idx="7">
                  <c:v>80.134678510000001</c:v>
                </c:pt>
                <c:pt idx="8">
                  <c:v>98.653198653333334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B4-D349-A888-E8FDC5CE634F}"/>
            </c:ext>
          </c:extLst>
        </c:ser>
        <c:ser>
          <c:idx val="1"/>
          <c:order val="1"/>
          <c:tx>
            <c:strRef>
              <c:f>'Electrosynthesized Pure Struvit'!$Q$19</c:f>
              <c:strCache>
                <c:ptCount val="1"/>
                <c:pt idx="0">
                  <c:v>NH4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'Electrosynthesized Pure Struvit'!$O$20:$O$31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24.5</c:v>
                </c:pt>
                <c:pt idx="8">
                  <c:v>32</c:v>
                </c:pt>
                <c:pt idx="9">
                  <c:v>48.5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'Electrosynthesized Pure Struvit'!$Q$20:$Q$31</c:f>
              <c:numCache>
                <c:formatCode>General</c:formatCode>
                <c:ptCount val="12"/>
                <c:pt idx="0">
                  <c:v>0</c:v>
                </c:pt>
                <c:pt idx="1">
                  <c:v>17.596373333333332</c:v>
                </c:pt>
                <c:pt idx="2">
                  <c:v>19.501133333333332</c:v>
                </c:pt>
                <c:pt idx="3">
                  <c:v>30.249433333333332</c:v>
                </c:pt>
                <c:pt idx="4">
                  <c:v>33.151926666666661</c:v>
                </c:pt>
                <c:pt idx="5">
                  <c:v>35.147393333333333</c:v>
                </c:pt>
                <c:pt idx="6">
                  <c:v>41.360546666666664</c:v>
                </c:pt>
                <c:pt idx="7">
                  <c:v>80.589569999999995</c:v>
                </c:pt>
                <c:pt idx="8">
                  <c:v>83.67346666666667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B4-D349-A888-E8FDC5CE634F}"/>
            </c:ext>
          </c:extLst>
        </c:ser>
        <c:ser>
          <c:idx val="2"/>
          <c:order val="2"/>
          <c:tx>
            <c:strRef>
              <c:f>'Electrosynthesized Pure Struvit'!$R$19</c:f>
              <c:strCache>
                <c:ptCount val="1"/>
                <c:pt idx="0">
                  <c:v>PO4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'Electrosynthesized Pure Struvit'!$O$20:$O$31</c:f>
              <c:numCache>
                <c:formatCode>General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24.5</c:v>
                </c:pt>
                <c:pt idx="8">
                  <c:v>32</c:v>
                </c:pt>
                <c:pt idx="9">
                  <c:v>48.5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'Electrosynthesized Pure Struvit'!$R$20:$R$31</c:f>
              <c:numCache>
                <c:formatCode>General</c:formatCode>
                <c:ptCount val="12"/>
                <c:pt idx="0">
                  <c:v>0</c:v>
                </c:pt>
                <c:pt idx="1">
                  <c:v>17.272729999999999</c:v>
                </c:pt>
                <c:pt idx="2">
                  <c:v>17.47475</c:v>
                </c:pt>
                <c:pt idx="3">
                  <c:v>24.343433333333333</c:v>
                </c:pt>
                <c:pt idx="4">
                  <c:v>31.616159999999997</c:v>
                </c:pt>
                <c:pt idx="5">
                  <c:v>31.313130000000001</c:v>
                </c:pt>
                <c:pt idx="6">
                  <c:v>36.565660000000001</c:v>
                </c:pt>
                <c:pt idx="7">
                  <c:v>69.696969999999993</c:v>
                </c:pt>
                <c:pt idx="8">
                  <c:v>71.414140000000003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B4-D349-A888-E8FDC5CE6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8029311"/>
        <c:axId val="728025279"/>
      </c:scatterChart>
      <c:valAx>
        <c:axId val="72802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25279"/>
        <c:crosses val="autoZero"/>
        <c:crossBetween val="midCat"/>
      </c:valAx>
      <c:valAx>
        <c:axId val="7280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029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69850</xdr:colOff>
      <xdr:row>49</xdr:row>
      <xdr:rowOff>120650</xdr:rowOff>
    </xdr:from>
    <xdr:to>
      <xdr:col>13</xdr:col>
      <xdr:colOff>546100</xdr:colOff>
      <xdr:row>70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551E8-8CC1-A1BB-3A18-E7A09E438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B016-4A34-134B-8AD2-8B48183785A6}">
  <dimension ref="B1:R74"/>
  <sheetViews>
    <sheetView tabSelected="1" topLeftCell="G4" workbookViewId="0">
      <selection activeCell="K21" sqref="K21"/>
    </sheetView>
  </sheetViews>
  <sheetFormatPr baseColWidth="10" defaultRowHeight="16" x14ac:dyDescent="0.2"/>
  <cols>
    <col min="16" max="16" width="15.33203125" customWidth="1"/>
    <col min="17" max="17" width="15.83203125" customWidth="1"/>
    <col min="18" max="18" width="16.1640625" customWidth="1"/>
  </cols>
  <sheetData>
    <row r="1" spans="2:17" x14ac:dyDescent="0.2">
      <c r="D1" s="70" t="s">
        <v>7</v>
      </c>
      <c r="E1" s="70"/>
      <c r="F1" s="70"/>
    </row>
    <row r="2" spans="2:17" ht="17" thickBot="1" x14ac:dyDescent="0.25">
      <c r="B2" t="s">
        <v>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2:17" ht="17" thickBot="1" x14ac:dyDescent="0.25">
      <c r="C3" s="23"/>
      <c r="D3" s="24" t="s">
        <v>6</v>
      </c>
      <c r="E3" s="42" t="s">
        <v>0</v>
      </c>
      <c r="F3" s="43"/>
      <c r="G3" s="44"/>
      <c r="H3" s="45" t="s">
        <v>1</v>
      </c>
      <c r="I3" s="43"/>
      <c r="J3" s="44"/>
      <c r="K3" s="46" t="s">
        <v>2</v>
      </c>
      <c r="L3" s="47"/>
      <c r="M3" s="48"/>
      <c r="N3" s="49" t="s">
        <v>3</v>
      </c>
      <c r="O3" s="50"/>
      <c r="P3" s="51"/>
      <c r="Q3" s="23"/>
    </row>
    <row r="4" spans="2:17" x14ac:dyDescent="0.2">
      <c r="C4" s="23"/>
      <c r="D4" s="26">
        <v>0</v>
      </c>
      <c r="E4" s="27">
        <v>0</v>
      </c>
      <c r="F4" s="27">
        <v>0</v>
      </c>
      <c r="G4" s="28">
        <v>0</v>
      </c>
      <c r="H4" s="27">
        <v>0</v>
      </c>
      <c r="I4" s="27">
        <v>0</v>
      </c>
      <c r="J4" s="27">
        <v>0</v>
      </c>
      <c r="K4" s="29">
        <v>0</v>
      </c>
      <c r="L4" s="27">
        <v>0</v>
      </c>
      <c r="M4" s="30">
        <v>0</v>
      </c>
      <c r="N4" s="27">
        <v>0</v>
      </c>
      <c r="O4" s="27">
        <v>0</v>
      </c>
      <c r="P4" s="30">
        <v>0</v>
      </c>
      <c r="Q4" s="23"/>
    </row>
    <row r="5" spans="2:17" x14ac:dyDescent="0.2">
      <c r="C5" s="23"/>
      <c r="D5" s="31">
        <v>0.5</v>
      </c>
      <c r="E5" s="32">
        <v>20</v>
      </c>
      <c r="F5" s="32">
        <v>23</v>
      </c>
      <c r="G5" s="33">
        <v>17</v>
      </c>
      <c r="H5" s="32">
        <v>12.5</v>
      </c>
      <c r="I5" s="32">
        <v>14.2</v>
      </c>
      <c r="J5" s="32">
        <v>12.1</v>
      </c>
      <c r="K5" s="34">
        <v>0.56000000000000005</v>
      </c>
      <c r="L5" s="32">
        <v>0.59</v>
      </c>
      <c r="M5" s="35">
        <v>0.56000000000000005</v>
      </c>
      <c r="N5" s="32">
        <v>78.959999999999994</v>
      </c>
      <c r="O5" s="32">
        <v>83.19</v>
      </c>
      <c r="P5" s="35">
        <v>78.959999999999994</v>
      </c>
      <c r="Q5" s="23"/>
    </row>
    <row r="6" spans="2:17" x14ac:dyDescent="0.2">
      <c r="C6" s="23"/>
      <c r="D6" s="31">
        <v>1</v>
      </c>
      <c r="E6" s="32">
        <v>22</v>
      </c>
      <c r="F6" s="32">
        <v>22</v>
      </c>
      <c r="G6" s="33">
        <v>27</v>
      </c>
      <c r="H6" s="32">
        <v>14.5</v>
      </c>
      <c r="I6" s="32">
        <v>14.4</v>
      </c>
      <c r="J6" s="32">
        <v>14.1</v>
      </c>
      <c r="K6" s="34">
        <v>0.56999999999999995</v>
      </c>
      <c r="L6" s="32">
        <v>0.57999999999999996</v>
      </c>
      <c r="M6" s="35">
        <v>0.57999999999999996</v>
      </c>
      <c r="N6" s="32">
        <v>80.37</v>
      </c>
      <c r="O6" s="32">
        <v>81.78</v>
      </c>
      <c r="P6" s="35">
        <v>81.78</v>
      </c>
      <c r="Q6" s="23"/>
    </row>
    <row r="7" spans="2:17" x14ac:dyDescent="0.2">
      <c r="C7" s="23"/>
      <c r="D7" s="31">
        <v>2</v>
      </c>
      <c r="E7" s="32">
        <v>33</v>
      </c>
      <c r="F7" s="32">
        <v>31</v>
      </c>
      <c r="G7" s="33">
        <v>37</v>
      </c>
      <c r="H7" s="32">
        <v>21</v>
      </c>
      <c r="I7" s="32">
        <v>21.7</v>
      </c>
      <c r="J7" s="32">
        <v>24</v>
      </c>
      <c r="K7" s="34">
        <v>0.77</v>
      </c>
      <c r="L7" s="32">
        <v>0.8</v>
      </c>
      <c r="M7" s="35">
        <v>0.84</v>
      </c>
      <c r="N7" s="32">
        <v>108.57</v>
      </c>
      <c r="O7" s="32">
        <v>112.8</v>
      </c>
      <c r="P7" s="35">
        <v>118.44</v>
      </c>
      <c r="Q7" s="23"/>
    </row>
    <row r="8" spans="2:17" x14ac:dyDescent="0.2">
      <c r="C8" s="23"/>
      <c r="D8" s="31">
        <v>4</v>
      </c>
      <c r="E8" s="32">
        <v>37</v>
      </c>
      <c r="F8" s="32">
        <v>43</v>
      </c>
      <c r="G8" s="33">
        <v>35</v>
      </c>
      <c r="H8" s="32">
        <v>24.5</v>
      </c>
      <c r="I8" s="32">
        <v>24.1</v>
      </c>
      <c r="J8" s="32">
        <v>24.5</v>
      </c>
      <c r="K8" s="34">
        <v>1.1000000000000001</v>
      </c>
      <c r="L8" s="32">
        <v>0.94</v>
      </c>
      <c r="M8" s="35">
        <v>1.0900000000000001</v>
      </c>
      <c r="N8" s="32">
        <v>155.1</v>
      </c>
      <c r="O8" s="32">
        <v>132.54</v>
      </c>
      <c r="P8" s="35">
        <v>153.69</v>
      </c>
      <c r="Q8" s="23"/>
    </row>
    <row r="9" spans="2:17" x14ac:dyDescent="0.2">
      <c r="C9" s="23"/>
      <c r="D9" s="31">
        <v>6</v>
      </c>
      <c r="E9" s="32">
        <v>45</v>
      </c>
      <c r="F9" s="32">
        <v>46</v>
      </c>
      <c r="G9" s="33">
        <v>45</v>
      </c>
      <c r="H9" s="32">
        <v>25.7</v>
      </c>
      <c r="I9" s="32">
        <v>26.6</v>
      </c>
      <c r="J9" s="32">
        <v>25.2</v>
      </c>
      <c r="K9" s="34">
        <v>1.02</v>
      </c>
      <c r="L9" s="32">
        <v>1.05</v>
      </c>
      <c r="M9" s="35">
        <v>1.03</v>
      </c>
      <c r="N9" s="32">
        <v>143.82</v>
      </c>
      <c r="O9" s="32">
        <v>148.05000000000001</v>
      </c>
      <c r="P9" s="35">
        <v>145.22999999999999</v>
      </c>
      <c r="Q9" s="23"/>
    </row>
    <row r="10" spans="2:17" x14ac:dyDescent="0.2">
      <c r="C10" s="23"/>
      <c r="D10" s="31">
        <v>8</v>
      </c>
      <c r="E10" s="32">
        <v>38</v>
      </c>
      <c r="F10" s="32">
        <v>42</v>
      </c>
      <c r="G10" s="33">
        <v>47</v>
      </c>
      <c r="H10" s="32">
        <v>29.6</v>
      </c>
      <c r="I10" s="32">
        <v>30.2</v>
      </c>
      <c r="J10" s="32">
        <v>31.4</v>
      </c>
      <c r="K10" s="34">
        <v>1.1599999999999999</v>
      </c>
      <c r="L10" s="32">
        <v>1.17</v>
      </c>
      <c r="M10" s="35">
        <v>1.29</v>
      </c>
      <c r="N10" s="32">
        <v>163.56</v>
      </c>
      <c r="O10" s="32">
        <v>164.97</v>
      </c>
      <c r="P10" s="35">
        <v>181.89</v>
      </c>
      <c r="Q10" s="23"/>
    </row>
    <row r="11" spans="2:17" x14ac:dyDescent="0.2">
      <c r="C11" s="23"/>
      <c r="D11" s="31">
        <v>24.5</v>
      </c>
      <c r="E11" s="32">
        <v>72</v>
      </c>
      <c r="F11" s="32">
        <v>82</v>
      </c>
      <c r="G11" s="33">
        <v>84</v>
      </c>
      <c r="H11" s="32">
        <v>59.4</v>
      </c>
      <c r="I11" s="32">
        <v>57.6</v>
      </c>
      <c r="J11" s="32">
        <v>60.7</v>
      </c>
      <c r="K11" s="34">
        <v>2.33</v>
      </c>
      <c r="L11" s="32">
        <v>2.27</v>
      </c>
      <c r="M11" s="35">
        <v>2.2999999999999998</v>
      </c>
      <c r="N11" s="32">
        <v>328.53</v>
      </c>
      <c r="O11" s="32">
        <v>320.07</v>
      </c>
      <c r="P11" s="35">
        <v>324.3</v>
      </c>
      <c r="Q11" s="23"/>
    </row>
    <row r="12" spans="2:17" x14ac:dyDescent="0.2">
      <c r="C12" s="23"/>
      <c r="D12" s="26">
        <v>32</v>
      </c>
      <c r="E12" s="27">
        <v>95</v>
      </c>
      <c r="F12" s="27">
        <v>99</v>
      </c>
      <c r="G12" s="28">
        <v>99</v>
      </c>
      <c r="H12" s="32">
        <v>60.2</v>
      </c>
      <c r="I12" s="32">
        <v>63.6</v>
      </c>
      <c r="J12" s="32">
        <v>60.7</v>
      </c>
      <c r="K12" s="34">
        <v>2.41</v>
      </c>
      <c r="L12" s="32">
        <v>2.31</v>
      </c>
      <c r="M12" s="35">
        <v>2.35</v>
      </c>
      <c r="N12" s="32">
        <v>339.81</v>
      </c>
      <c r="O12" s="32">
        <v>325.70999999999998</v>
      </c>
      <c r="P12" s="35">
        <v>331.35</v>
      </c>
      <c r="Q12" s="23"/>
    </row>
    <row r="13" spans="2:17" x14ac:dyDescent="0.2">
      <c r="C13" s="23"/>
      <c r="D13" s="31">
        <v>48.5</v>
      </c>
      <c r="E13" s="32"/>
      <c r="F13" s="32"/>
      <c r="G13" s="33"/>
      <c r="H13" s="27">
        <v>73.5</v>
      </c>
      <c r="I13" s="27">
        <v>73.5</v>
      </c>
      <c r="J13" s="27">
        <v>73.5</v>
      </c>
      <c r="K13" s="29">
        <v>3.3</v>
      </c>
      <c r="L13" s="27">
        <v>3.3</v>
      </c>
      <c r="M13" s="30">
        <v>3.3</v>
      </c>
      <c r="N13" s="27">
        <v>465.3</v>
      </c>
      <c r="O13" s="27">
        <v>465.3</v>
      </c>
      <c r="P13" s="30">
        <v>465.3</v>
      </c>
      <c r="Q13" s="23"/>
    </row>
    <row r="14" spans="2:17" x14ac:dyDescent="0.2">
      <c r="C14" s="23"/>
      <c r="D14" s="31">
        <v>0</v>
      </c>
      <c r="E14" s="32">
        <v>0</v>
      </c>
      <c r="F14" s="32">
        <v>0</v>
      </c>
      <c r="G14" s="33">
        <v>0</v>
      </c>
      <c r="H14" s="32">
        <v>0</v>
      </c>
      <c r="I14" s="32">
        <v>0</v>
      </c>
      <c r="J14" s="32">
        <v>0</v>
      </c>
      <c r="K14" s="34">
        <v>0</v>
      </c>
      <c r="L14" s="32">
        <v>0</v>
      </c>
      <c r="M14" s="35">
        <v>0</v>
      </c>
      <c r="N14" s="32">
        <v>0</v>
      </c>
      <c r="O14" s="32">
        <v>0</v>
      </c>
      <c r="P14" s="35">
        <v>0</v>
      </c>
      <c r="Q14" s="23"/>
    </row>
    <row r="15" spans="2:17" ht="17" thickBot="1" x14ac:dyDescent="0.25">
      <c r="C15" s="23"/>
      <c r="D15" s="36">
        <v>0</v>
      </c>
      <c r="E15" s="37">
        <v>0</v>
      </c>
      <c r="F15" s="37">
        <v>0</v>
      </c>
      <c r="G15" s="38">
        <v>0</v>
      </c>
      <c r="H15" s="37">
        <v>0</v>
      </c>
      <c r="I15" s="37">
        <v>0</v>
      </c>
      <c r="J15" s="37">
        <v>0</v>
      </c>
      <c r="K15" s="39">
        <v>0</v>
      </c>
      <c r="L15" s="40">
        <v>0</v>
      </c>
      <c r="M15" s="41">
        <v>0</v>
      </c>
      <c r="N15" s="40">
        <v>0</v>
      </c>
      <c r="O15" s="40">
        <v>0</v>
      </c>
      <c r="P15" s="41">
        <v>0</v>
      </c>
      <c r="Q15" s="23"/>
    </row>
    <row r="16" spans="2:17" x14ac:dyDescent="0.2">
      <c r="C16" s="23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23"/>
    </row>
    <row r="17" spans="3:18" x14ac:dyDescent="0.2">
      <c r="C17" s="23"/>
      <c r="D17" s="70" t="s">
        <v>16</v>
      </c>
      <c r="E17" s="70"/>
      <c r="F17" s="70"/>
      <c r="G17" s="32"/>
      <c r="H17" s="32"/>
      <c r="I17" s="32"/>
      <c r="J17" s="32"/>
      <c r="K17" s="32"/>
      <c r="L17" s="32"/>
      <c r="M17" s="32"/>
      <c r="N17" s="32"/>
      <c r="O17" s="70" t="s">
        <v>17</v>
      </c>
      <c r="P17" s="70"/>
      <c r="Q17" s="70"/>
    </row>
    <row r="18" spans="3:18" ht="17" thickBot="1" x14ac:dyDescent="0.25">
      <c r="C18" s="23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23"/>
    </row>
    <row r="19" spans="3:18" ht="17" thickBot="1" x14ac:dyDescent="0.25">
      <c r="C19" s="23"/>
      <c r="D19" s="25"/>
      <c r="E19" s="52" t="s">
        <v>0</v>
      </c>
      <c r="F19" s="53"/>
      <c r="G19" s="54"/>
      <c r="H19" s="52" t="s">
        <v>1</v>
      </c>
      <c r="I19" s="53"/>
      <c r="J19" s="54"/>
      <c r="K19" s="52" t="s">
        <v>2</v>
      </c>
      <c r="L19" s="53"/>
      <c r="M19" s="54"/>
      <c r="N19" s="32"/>
      <c r="O19" s="24" t="s">
        <v>6</v>
      </c>
      <c r="P19" s="67" t="s">
        <v>0</v>
      </c>
      <c r="Q19" s="67" t="s">
        <v>1</v>
      </c>
      <c r="R19" s="67" t="s">
        <v>2</v>
      </c>
    </row>
    <row r="20" spans="3:18" x14ac:dyDescent="0.2">
      <c r="C20" s="23"/>
      <c r="D20" s="32"/>
      <c r="E20" s="34">
        <v>0</v>
      </c>
      <c r="F20" s="32">
        <v>0</v>
      </c>
      <c r="G20" s="35">
        <v>0</v>
      </c>
      <c r="H20" s="32">
        <v>0</v>
      </c>
      <c r="I20" s="32">
        <v>0</v>
      </c>
      <c r="J20" s="35">
        <v>0</v>
      </c>
      <c r="K20" s="32">
        <v>0</v>
      </c>
      <c r="L20" s="32">
        <v>0</v>
      </c>
      <c r="M20" s="35">
        <v>0</v>
      </c>
      <c r="N20" s="23"/>
      <c r="O20" s="26">
        <v>0</v>
      </c>
      <c r="P20" s="68">
        <f>AVERAGE(E20:G20)</f>
        <v>0</v>
      </c>
      <c r="Q20" s="68">
        <f>AVERAGE(H20:J20)</f>
        <v>0</v>
      </c>
      <c r="R20" s="68">
        <f>AVERAGE(K20:M20)</f>
        <v>0</v>
      </c>
    </row>
    <row r="21" spans="3:18" x14ac:dyDescent="0.2">
      <c r="C21" s="23"/>
      <c r="D21" s="32"/>
      <c r="E21" s="34">
        <v>20.2020202</v>
      </c>
      <c r="F21" s="32">
        <v>23.2323232</v>
      </c>
      <c r="G21" s="35">
        <v>17.171720000000001</v>
      </c>
      <c r="H21" s="32">
        <v>17.006799999999998</v>
      </c>
      <c r="I21" s="32">
        <v>19.31973</v>
      </c>
      <c r="J21" s="35">
        <v>16.462589999999999</v>
      </c>
      <c r="K21" s="32">
        <v>16.9697</v>
      </c>
      <c r="L21" s="32">
        <v>17.878789999999999</v>
      </c>
      <c r="M21" s="35">
        <v>16.9697</v>
      </c>
      <c r="N21" s="23"/>
      <c r="O21" s="31">
        <v>0.5</v>
      </c>
      <c r="P21" s="68">
        <f t="shared" ref="P21:P31" si="0">AVERAGE(E21:G21)</f>
        <v>20.202021133333336</v>
      </c>
      <c r="Q21" s="68">
        <f t="shared" ref="Q21:Q31" si="1">AVERAGE(H21:J21)</f>
        <v>17.596373333333332</v>
      </c>
      <c r="R21" s="68">
        <f t="shared" ref="R21:R31" si="2">AVERAGE(K21:M21)</f>
        <v>17.272729999999999</v>
      </c>
    </row>
    <row r="22" spans="3:18" x14ac:dyDescent="0.2">
      <c r="C22" s="23"/>
      <c r="D22" s="32"/>
      <c r="E22" s="34">
        <v>22.222222219999999</v>
      </c>
      <c r="F22" s="32">
        <v>22.222222200000001</v>
      </c>
      <c r="G22" s="35">
        <v>27.272729999999999</v>
      </c>
      <c r="H22" s="32">
        <v>19.727889999999999</v>
      </c>
      <c r="I22" s="32">
        <v>19.591840000000001</v>
      </c>
      <c r="J22" s="35">
        <v>19.183669999999999</v>
      </c>
      <c r="K22" s="32">
        <v>17.272729999999999</v>
      </c>
      <c r="L22" s="32">
        <v>17.575759999999999</v>
      </c>
      <c r="M22" s="35">
        <v>17.575759999999999</v>
      </c>
      <c r="N22" s="23"/>
      <c r="O22" s="31">
        <v>1</v>
      </c>
      <c r="P22" s="68">
        <f t="shared" si="0"/>
        <v>23.905724806666665</v>
      </c>
      <c r="Q22" s="68">
        <f t="shared" si="1"/>
        <v>19.501133333333332</v>
      </c>
      <c r="R22" s="68">
        <f t="shared" si="2"/>
        <v>17.47475</v>
      </c>
    </row>
    <row r="23" spans="3:18" x14ac:dyDescent="0.2">
      <c r="C23" s="23"/>
      <c r="D23" s="32"/>
      <c r="E23" s="34">
        <v>33.333333330000002</v>
      </c>
      <c r="F23" s="32">
        <v>31.313131299999998</v>
      </c>
      <c r="G23" s="35">
        <v>37.373739999999998</v>
      </c>
      <c r="H23" s="32">
        <v>28.571429999999999</v>
      </c>
      <c r="I23" s="32">
        <v>29.523810000000001</v>
      </c>
      <c r="J23" s="35">
        <v>32.653060000000004</v>
      </c>
      <c r="K23" s="32">
        <v>23.33333</v>
      </c>
      <c r="L23" s="32">
        <v>24.242419999999999</v>
      </c>
      <c r="M23" s="35">
        <v>25.454550000000001</v>
      </c>
      <c r="N23" s="23"/>
      <c r="O23" s="31">
        <v>2</v>
      </c>
      <c r="P23" s="68">
        <f t="shared" si="0"/>
        <v>34.006734876666663</v>
      </c>
      <c r="Q23" s="68">
        <f t="shared" si="1"/>
        <v>30.249433333333332</v>
      </c>
      <c r="R23" s="68">
        <f t="shared" si="2"/>
        <v>24.343433333333333</v>
      </c>
    </row>
    <row r="24" spans="3:18" x14ac:dyDescent="0.2">
      <c r="C24" s="23"/>
      <c r="D24" s="32"/>
      <c r="E24" s="34">
        <v>37.373737370000001</v>
      </c>
      <c r="F24" s="32">
        <v>43.434343400000003</v>
      </c>
      <c r="G24" s="35">
        <v>35.353540000000002</v>
      </c>
      <c r="H24" s="32">
        <v>33.333329999999997</v>
      </c>
      <c r="I24" s="32">
        <v>32.789119999999997</v>
      </c>
      <c r="J24" s="35">
        <v>33.333329999999997</v>
      </c>
      <c r="K24" s="32">
        <v>33.333329999999997</v>
      </c>
      <c r="L24" s="32">
        <v>28.484850000000002</v>
      </c>
      <c r="M24" s="35">
        <v>33.030299999999997</v>
      </c>
      <c r="N24" s="23"/>
      <c r="O24" s="31">
        <v>4</v>
      </c>
      <c r="P24" s="68">
        <f t="shared" si="0"/>
        <v>38.720540256666673</v>
      </c>
      <c r="Q24" s="68">
        <f t="shared" si="1"/>
        <v>33.151926666666661</v>
      </c>
      <c r="R24" s="68">
        <f t="shared" si="2"/>
        <v>31.616159999999997</v>
      </c>
    </row>
    <row r="25" spans="3:18" x14ac:dyDescent="0.2">
      <c r="C25" s="23"/>
      <c r="D25" s="32"/>
      <c r="E25" s="34">
        <v>45.454545449999998</v>
      </c>
      <c r="F25" s="32">
        <v>46.464646500000001</v>
      </c>
      <c r="G25" s="35">
        <v>45.454549999999998</v>
      </c>
      <c r="H25" s="32">
        <v>34.965989999999998</v>
      </c>
      <c r="I25" s="32">
        <v>36.190480000000001</v>
      </c>
      <c r="J25" s="35">
        <v>34.285710000000002</v>
      </c>
      <c r="K25" s="32">
        <v>30.909089999999999</v>
      </c>
      <c r="L25" s="32">
        <v>31.818180000000002</v>
      </c>
      <c r="M25" s="35">
        <v>31.212119999999999</v>
      </c>
      <c r="N25" s="23"/>
      <c r="O25" s="31">
        <v>6</v>
      </c>
      <c r="P25" s="68">
        <f t="shared" si="0"/>
        <v>45.79124731666667</v>
      </c>
      <c r="Q25" s="68">
        <f t="shared" si="1"/>
        <v>35.147393333333333</v>
      </c>
      <c r="R25" s="68">
        <f t="shared" si="2"/>
        <v>31.313130000000001</v>
      </c>
    </row>
    <row r="26" spans="3:18" x14ac:dyDescent="0.2">
      <c r="C26" s="23"/>
      <c r="D26" s="32"/>
      <c r="E26" s="34">
        <v>38.38383838</v>
      </c>
      <c r="F26" s="32">
        <v>42.424242399999997</v>
      </c>
      <c r="G26" s="35">
        <v>47.47475</v>
      </c>
      <c r="H26" s="32">
        <v>40.272109999999998</v>
      </c>
      <c r="I26" s="32">
        <v>41.088439999999999</v>
      </c>
      <c r="J26" s="35">
        <v>42.721089999999997</v>
      </c>
      <c r="K26" s="32">
        <v>35.151519999999998</v>
      </c>
      <c r="L26" s="32">
        <v>35.454549999999998</v>
      </c>
      <c r="M26" s="35">
        <v>39.090910000000001</v>
      </c>
      <c r="N26" s="23"/>
      <c r="O26" s="31">
        <v>8</v>
      </c>
      <c r="P26" s="68">
        <f t="shared" si="0"/>
        <v>42.76094359333333</v>
      </c>
      <c r="Q26" s="68">
        <f t="shared" si="1"/>
        <v>41.360546666666664</v>
      </c>
      <c r="R26" s="68">
        <f t="shared" si="2"/>
        <v>36.565660000000001</v>
      </c>
    </row>
    <row r="27" spans="3:18" x14ac:dyDescent="0.2">
      <c r="C27" s="23"/>
      <c r="D27" s="32"/>
      <c r="E27" s="34">
        <v>72.727272729999996</v>
      </c>
      <c r="F27" s="32">
        <v>82.828282799999997</v>
      </c>
      <c r="G27" s="35">
        <v>84.848479999999995</v>
      </c>
      <c r="H27" s="32">
        <v>80.816329999999994</v>
      </c>
      <c r="I27" s="32">
        <v>78.367350000000002</v>
      </c>
      <c r="J27" s="35">
        <v>82.585030000000003</v>
      </c>
      <c r="K27" s="32">
        <v>70.606059999999999</v>
      </c>
      <c r="L27" s="32">
        <v>68.787880000000001</v>
      </c>
      <c r="M27" s="35">
        <v>69.696969999999993</v>
      </c>
      <c r="N27" s="23"/>
      <c r="O27" s="31">
        <v>24.5</v>
      </c>
      <c r="P27" s="68">
        <f t="shared" si="0"/>
        <v>80.134678510000001</v>
      </c>
      <c r="Q27" s="68">
        <f t="shared" si="1"/>
        <v>80.589569999999995</v>
      </c>
      <c r="R27" s="68">
        <f t="shared" si="2"/>
        <v>69.696969999999993</v>
      </c>
    </row>
    <row r="28" spans="3:18" x14ac:dyDescent="0.2">
      <c r="C28" s="23"/>
      <c r="D28" s="32"/>
      <c r="E28" s="29">
        <v>95.959595960000001</v>
      </c>
      <c r="F28" s="27">
        <v>100</v>
      </c>
      <c r="G28" s="30">
        <v>100</v>
      </c>
      <c r="H28" s="32">
        <v>81.904759999999996</v>
      </c>
      <c r="I28" s="32">
        <v>86.530609999999996</v>
      </c>
      <c r="J28" s="35">
        <v>82.585030000000003</v>
      </c>
      <c r="K28" s="32">
        <v>73.030299999999997</v>
      </c>
      <c r="L28" s="32">
        <v>70</v>
      </c>
      <c r="M28" s="35">
        <v>71.212119999999999</v>
      </c>
      <c r="N28" s="23"/>
      <c r="O28" s="26">
        <v>32</v>
      </c>
      <c r="P28" s="68">
        <f t="shared" si="0"/>
        <v>98.653198653333334</v>
      </c>
      <c r="Q28" s="68">
        <f t="shared" si="1"/>
        <v>83.67346666666667</v>
      </c>
      <c r="R28" s="68">
        <f t="shared" si="2"/>
        <v>71.414140000000003</v>
      </c>
    </row>
    <row r="29" spans="3:18" x14ac:dyDescent="0.2">
      <c r="C29" s="23"/>
      <c r="D29" s="32"/>
      <c r="E29" s="34">
        <v>0</v>
      </c>
      <c r="F29" s="32">
        <v>0</v>
      </c>
      <c r="G29" s="35">
        <v>0</v>
      </c>
      <c r="H29" s="27">
        <v>100</v>
      </c>
      <c r="I29" s="27">
        <v>100</v>
      </c>
      <c r="J29" s="30">
        <v>100</v>
      </c>
      <c r="K29" s="27">
        <v>100</v>
      </c>
      <c r="L29" s="27">
        <v>100</v>
      </c>
      <c r="M29" s="30">
        <v>100</v>
      </c>
      <c r="N29" s="23"/>
      <c r="O29" s="31">
        <v>48.5</v>
      </c>
      <c r="P29" s="68"/>
      <c r="Q29" s="68">
        <f t="shared" si="1"/>
        <v>100</v>
      </c>
      <c r="R29" s="68">
        <f t="shared" si="2"/>
        <v>100</v>
      </c>
    </row>
    <row r="30" spans="3:18" x14ac:dyDescent="0.2">
      <c r="C30" s="23"/>
      <c r="D30" s="32"/>
      <c r="E30" s="34">
        <v>0</v>
      </c>
      <c r="F30" s="32">
        <v>0</v>
      </c>
      <c r="G30" s="35">
        <v>0</v>
      </c>
      <c r="H30" s="32">
        <v>0</v>
      </c>
      <c r="I30" s="32">
        <v>0</v>
      </c>
      <c r="J30" s="35">
        <v>0</v>
      </c>
      <c r="K30" s="32">
        <v>0</v>
      </c>
      <c r="L30" s="32">
        <v>0</v>
      </c>
      <c r="M30" s="35">
        <v>0</v>
      </c>
      <c r="N30" s="23"/>
      <c r="O30" s="31">
        <v>0</v>
      </c>
      <c r="P30" s="68"/>
      <c r="Q30" s="68"/>
      <c r="R30" s="68"/>
    </row>
    <row r="31" spans="3:18" ht="17" thickBot="1" x14ac:dyDescent="0.25">
      <c r="C31" s="23"/>
      <c r="D31" s="32"/>
      <c r="E31" s="39">
        <v>0</v>
      </c>
      <c r="F31" s="40">
        <v>0</v>
      </c>
      <c r="G31" s="41">
        <v>0</v>
      </c>
      <c r="H31" s="40">
        <v>0</v>
      </c>
      <c r="I31" s="40">
        <v>0</v>
      </c>
      <c r="J31" s="41">
        <v>0</v>
      </c>
      <c r="K31" s="40">
        <v>0</v>
      </c>
      <c r="L31" s="40">
        <v>0</v>
      </c>
      <c r="M31" s="41">
        <v>0</v>
      </c>
      <c r="N31" s="23"/>
      <c r="O31" s="36">
        <v>0</v>
      </c>
      <c r="P31" s="69"/>
      <c r="Q31" s="69"/>
      <c r="R31" s="69"/>
    </row>
    <row r="32" spans="3:18" x14ac:dyDescent="0.2"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spans="3:17" x14ac:dyDescent="0.2"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spans="3:17" x14ac:dyDescent="0.2">
      <c r="D34" s="70" t="s">
        <v>15</v>
      </c>
      <c r="E34" s="70"/>
      <c r="F34" s="70"/>
    </row>
    <row r="35" spans="3:17" ht="17" thickBot="1" x14ac:dyDescent="0.25"/>
    <row r="36" spans="3:17" ht="17" thickBot="1" x14ac:dyDescent="0.25">
      <c r="D36" s="77" t="s">
        <v>18</v>
      </c>
      <c r="E36" s="77" t="s">
        <v>8</v>
      </c>
      <c r="F36" s="77" t="s">
        <v>9</v>
      </c>
      <c r="G36" s="78" t="s">
        <v>10</v>
      </c>
      <c r="H36" s="77" t="s">
        <v>11</v>
      </c>
      <c r="I36" s="77" t="s">
        <v>12</v>
      </c>
      <c r="J36" s="77" t="s">
        <v>13</v>
      </c>
      <c r="K36" s="79" t="s">
        <v>14</v>
      </c>
    </row>
    <row r="37" spans="3:17" x14ac:dyDescent="0.2">
      <c r="D37" s="68">
        <f>O20</f>
        <v>0</v>
      </c>
      <c r="E37" s="80">
        <f>R20/100</f>
        <v>0</v>
      </c>
      <c r="F37" s="75">
        <f>1-E37</f>
        <v>1</v>
      </c>
      <c r="G37" s="71">
        <f>LN(F37)</f>
        <v>0</v>
      </c>
      <c r="H37" s="75">
        <f>SQRT(D37)</f>
        <v>0</v>
      </c>
      <c r="I37" s="75" t="e">
        <f>LN(D37)</f>
        <v>#NUM!</v>
      </c>
      <c r="J37" s="75" t="e">
        <f>LOG10(D37)</f>
        <v>#NUM!</v>
      </c>
      <c r="K37" s="72" t="e" cm="1">
        <f t="array" ref="K37:K46">LOG10(E37:E46)</f>
        <v>#NUM!</v>
      </c>
    </row>
    <row r="38" spans="3:17" x14ac:dyDescent="0.2">
      <c r="D38" s="68">
        <f t="shared" ref="D38:D46" si="3">O21</f>
        <v>0.5</v>
      </c>
      <c r="E38" s="80">
        <f t="shared" ref="E38:E46" si="4">R21/100</f>
        <v>0.1727273</v>
      </c>
      <c r="F38" s="75">
        <f t="shared" ref="F38:F46" si="5">1-E38</f>
        <v>0.82727269999999997</v>
      </c>
      <c r="G38" s="71">
        <f t="shared" ref="G38:G46" si="6">LN(F38)</f>
        <v>-0.18962089224259973</v>
      </c>
      <c r="H38" s="75">
        <f t="shared" ref="H38:H46" si="7">SQRT(D38)</f>
        <v>0.70710678118654757</v>
      </c>
      <c r="I38" s="75">
        <f t="shared" ref="I38:I46" si="8">LN(D38)</f>
        <v>-0.69314718055994529</v>
      </c>
      <c r="J38" s="75">
        <f t="shared" ref="J38:J46" si="9">LOG10(D38)</f>
        <v>-0.3010299956639812</v>
      </c>
      <c r="K38" s="72">
        <v>-0.76263901563258851</v>
      </c>
    </row>
    <row r="39" spans="3:17" x14ac:dyDescent="0.2">
      <c r="D39" s="68">
        <f t="shared" si="3"/>
        <v>1</v>
      </c>
      <c r="E39" s="80">
        <f t="shared" si="4"/>
        <v>0.1747475</v>
      </c>
      <c r="F39" s="75">
        <f t="shared" si="5"/>
        <v>0.82525249999999994</v>
      </c>
      <c r="G39" s="71">
        <f t="shared" si="6"/>
        <v>-0.19206587886838847</v>
      </c>
      <c r="H39" s="75">
        <f t="shared" si="7"/>
        <v>1</v>
      </c>
      <c r="I39" s="75">
        <f t="shared" si="8"/>
        <v>0</v>
      </c>
      <c r="J39" s="75">
        <f t="shared" si="9"/>
        <v>0</v>
      </c>
      <c r="K39" s="72">
        <v>-0.75758902870944089</v>
      </c>
    </row>
    <row r="40" spans="3:17" x14ac:dyDescent="0.2">
      <c r="D40" s="68">
        <f t="shared" si="3"/>
        <v>2</v>
      </c>
      <c r="E40" s="80">
        <f t="shared" si="4"/>
        <v>0.24343433333333334</v>
      </c>
      <c r="F40" s="75">
        <f t="shared" si="5"/>
        <v>0.75656566666666669</v>
      </c>
      <c r="G40" s="71">
        <f t="shared" si="6"/>
        <v>-0.27896594626028132</v>
      </c>
      <c r="H40" s="75">
        <f t="shared" si="7"/>
        <v>1.4142135623730951</v>
      </c>
      <c r="I40" s="75">
        <f t="shared" si="8"/>
        <v>0.69314718055994529</v>
      </c>
      <c r="J40" s="75">
        <f t="shared" si="9"/>
        <v>0.3010299956639812</v>
      </c>
      <c r="K40" s="72">
        <v>-0.61361817004319985</v>
      </c>
    </row>
    <row r="41" spans="3:17" x14ac:dyDescent="0.2">
      <c r="D41" s="68">
        <f t="shared" si="3"/>
        <v>4</v>
      </c>
      <c r="E41" s="80">
        <f t="shared" si="4"/>
        <v>0.31616159999999999</v>
      </c>
      <c r="F41" s="75">
        <f t="shared" si="5"/>
        <v>0.68383839999999996</v>
      </c>
      <c r="G41" s="71">
        <f t="shared" si="6"/>
        <v>-0.38003364658268296</v>
      </c>
      <c r="H41" s="75">
        <f t="shared" si="7"/>
        <v>2</v>
      </c>
      <c r="I41" s="75">
        <f t="shared" si="8"/>
        <v>1.3862943611198906</v>
      </c>
      <c r="J41" s="75">
        <f t="shared" si="9"/>
        <v>0.6020599913279624</v>
      </c>
      <c r="K41" s="72">
        <v>-0.5000908792514589</v>
      </c>
    </row>
    <row r="42" spans="3:17" x14ac:dyDescent="0.2">
      <c r="D42" s="68">
        <f t="shared" si="3"/>
        <v>6</v>
      </c>
      <c r="E42" s="80">
        <f t="shared" si="4"/>
        <v>0.3131313</v>
      </c>
      <c r="F42" s="75">
        <f t="shared" si="5"/>
        <v>0.6868687</v>
      </c>
      <c r="G42" s="71">
        <f t="shared" si="6"/>
        <v>-0.37561212584083636</v>
      </c>
      <c r="H42" s="75">
        <f t="shared" si="7"/>
        <v>2.4494897427831779</v>
      </c>
      <c r="I42" s="75">
        <f t="shared" si="8"/>
        <v>1.791759469228055</v>
      </c>
      <c r="J42" s="75">
        <f t="shared" si="9"/>
        <v>0.77815125038364363</v>
      </c>
      <c r="K42" s="72">
        <v>-0.50427351897562689</v>
      </c>
    </row>
    <row r="43" spans="3:17" x14ac:dyDescent="0.2">
      <c r="D43" s="68">
        <f t="shared" si="3"/>
        <v>8</v>
      </c>
      <c r="E43" s="80">
        <f t="shared" si="4"/>
        <v>0.3656566</v>
      </c>
      <c r="F43" s="75">
        <f t="shared" si="5"/>
        <v>0.6343434</v>
      </c>
      <c r="G43" s="71">
        <f t="shared" si="6"/>
        <v>-0.4551648308005658</v>
      </c>
      <c r="H43" s="75">
        <f t="shared" si="7"/>
        <v>2.8284271247461903</v>
      </c>
      <c r="I43" s="75">
        <f t="shared" si="8"/>
        <v>2.0794415416798357</v>
      </c>
      <c r="J43" s="75">
        <f t="shared" si="9"/>
        <v>0.90308998699194354</v>
      </c>
      <c r="K43" s="72">
        <v>-0.43692658327429668</v>
      </c>
    </row>
    <row r="44" spans="3:17" x14ac:dyDescent="0.2">
      <c r="D44" s="68">
        <f t="shared" si="3"/>
        <v>24.5</v>
      </c>
      <c r="E44" s="80">
        <f t="shared" si="4"/>
        <v>0.69696969999999991</v>
      </c>
      <c r="F44" s="75">
        <f t="shared" si="5"/>
        <v>0.30303030000000009</v>
      </c>
      <c r="G44" s="71">
        <f t="shared" si="6"/>
        <v>-1.1939224784724343</v>
      </c>
      <c r="H44" s="75">
        <f t="shared" si="7"/>
        <v>4.9497474683058327</v>
      </c>
      <c r="I44" s="75">
        <f t="shared" si="8"/>
        <v>3.1986731175506815</v>
      </c>
      <c r="J44" s="75">
        <f t="shared" si="9"/>
        <v>1.3891660843645324</v>
      </c>
      <c r="K44" s="72">
        <v>-0.15678610197205778</v>
      </c>
    </row>
    <row r="45" spans="3:17" x14ac:dyDescent="0.2">
      <c r="D45" s="68">
        <f t="shared" si="3"/>
        <v>32</v>
      </c>
      <c r="E45" s="80">
        <f t="shared" si="4"/>
        <v>0.71414140000000004</v>
      </c>
      <c r="F45" s="75">
        <f t="shared" si="5"/>
        <v>0.28585859999999996</v>
      </c>
      <c r="G45" s="71">
        <f t="shared" si="6"/>
        <v>-1.2522579960154347</v>
      </c>
      <c r="H45" s="75">
        <f t="shared" si="7"/>
        <v>5.6568542494923806</v>
      </c>
      <c r="I45" s="75">
        <f t="shared" si="8"/>
        <v>3.4657359027997265</v>
      </c>
      <c r="J45" s="75">
        <f t="shared" si="9"/>
        <v>1.505149978319906</v>
      </c>
      <c r="K45" s="72">
        <v>-0.14621578940054131</v>
      </c>
    </row>
    <row r="46" spans="3:17" ht="17" thickBot="1" x14ac:dyDescent="0.25">
      <c r="D46" s="69">
        <f t="shared" si="3"/>
        <v>48.5</v>
      </c>
      <c r="E46" s="81"/>
      <c r="F46" s="76"/>
      <c r="G46" s="73"/>
      <c r="H46" s="76">
        <f t="shared" si="7"/>
        <v>6.9641941385920596</v>
      </c>
      <c r="I46" s="76">
        <f t="shared" si="8"/>
        <v>3.8815637979434374</v>
      </c>
      <c r="J46" s="76">
        <f t="shared" si="9"/>
        <v>1.6857417386022637</v>
      </c>
      <c r="K46" s="74" t="e">
        <v>#NUM!</v>
      </c>
    </row>
    <row r="49" spans="4:6" x14ac:dyDescent="0.2">
      <c r="D49" s="70" t="s">
        <v>19</v>
      </c>
      <c r="E49" s="70"/>
      <c r="F49" s="70"/>
    </row>
    <row r="74" spans="4:6" x14ac:dyDescent="0.2">
      <c r="D74" s="70" t="s">
        <v>20</v>
      </c>
      <c r="E74" s="70"/>
      <c r="F74" s="70"/>
    </row>
  </sheetData>
  <mergeCells count="13">
    <mergeCell ref="D1:F1"/>
    <mergeCell ref="D34:F34"/>
    <mergeCell ref="D49:F49"/>
    <mergeCell ref="D74:F74"/>
    <mergeCell ref="E3:G3"/>
    <mergeCell ref="H3:J3"/>
    <mergeCell ref="K3:M3"/>
    <mergeCell ref="N3:P3"/>
    <mergeCell ref="E19:G19"/>
    <mergeCell ref="H19:J19"/>
    <mergeCell ref="K19:M19"/>
    <mergeCell ref="O17:Q17"/>
    <mergeCell ref="D17:F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8A327-19BB-E446-8C63-E3C752D71AE7}">
  <dimension ref="A1:J11"/>
  <sheetViews>
    <sheetView workbookViewId="0">
      <selection activeCell="J20" sqref="J20"/>
    </sheetView>
  </sheetViews>
  <sheetFormatPr baseColWidth="10" defaultRowHeight="16" x14ac:dyDescent="0.2"/>
  <sheetData>
    <row r="1" spans="1:10" x14ac:dyDescent="0.2">
      <c r="A1" s="82" t="s">
        <v>6</v>
      </c>
      <c r="B1" s="82" t="s">
        <v>21</v>
      </c>
      <c r="C1" s="82" t="s">
        <v>22</v>
      </c>
      <c r="D1" s="82" t="s">
        <v>23</v>
      </c>
      <c r="E1" s="82" t="s">
        <v>24</v>
      </c>
      <c r="F1" s="82" t="s">
        <v>25</v>
      </c>
      <c r="G1" s="82" t="s">
        <v>26</v>
      </c>
      <c r="H1" s="82" t="s">
        <v>27</v>
      </c>
      <c r="I1" s="82" t="s">
        <v>28</v>
      </c>
      <c r="J1" s="82" t="s">
        <v>29</v>
      </c>
    </row>
    <row r="2" spans="1:10" x14ac:dyDescent="0.2">
      <c r="A2" s="83">
        <v>0</v>
      </c>
      <c r="B2" s="83">
        <v>0</v>
      </c>
      <c r="C2" s="83">
        <v>0</v>
      </c>
      <c r="D2" s="83">
        <v>0</v>
      </c>
      <c r="E2" s="83">
        <v>0</v>
      </c>
      <c r="F2" s="83">
        <v>0</v>
      </c>
      <c r="G2" s="83">
        <v>0</v>
      </c>
      <c r="H2" s="83">
        <v>0</v>
      </c>
      <c r="I2" s="83">
        <v>0</v>
      </c>
      <c r="J2" s="83">
        <v>0</v>
      </c>
    </row>
    <row r="3" spans="1:10" x14ac:dyDescent="0.2">
      <c r="A3" s="83">
        <v>0.5</v>
      </c>
      <c r="B3" s="83">
        <v>20</v>
      </c>
      <c r="C3" s="83">
        <v>23</v>
      </c>
      <c r="D3" s="83">
        <v>17</v>
      </c>
      <c r="E3" s="83">
        <v>12.5</v>
      </c>
      <c r="F3" s="83">
        <v>14.2</v>
      </c>
      <c r="G3" s="83">
        <v>12.1</v>
      </c>
      <c r="H3" s="83">
        <v>0.56000000000000005</v>
      </c>
      <c r="I3" s="83">
        <v>0.59</v>
      </c>
      <c r="J3" s="83">
        <v>0.56000000000000005</v>
      </c>
    </row>
    <row r="4" spans="1:10" x14ac:dyDescent="0.2">
      <c r="A4" s="83">
        <v>1</v>
      </c>
      <c r="B4" s="83">
        <v>22</v>
      </c>
      <c r="C4" s="83">
        <v>22</v>
      </c>
      <c r="D4" s="83">
        <v>27</v>
      </c>
      <c r="E4" s="83">
        <v>14.5</v>
      </c>
      <c r="F4" s="83">
        <v>14.4</v>
      </c>
      <c r="G4" s="83">
        <v>14.1</v>
      </c>
      <c r="H4" s="83">
        <v>0.56999999999999995</v>
      </c>
      <c r="I4" s="83">
        <v>0.57999999999999996</v>
      </c>
      <c r="J4" s="83">
        <v>0.57999999999999996</v>
      </c>
    </row>
    <row r="5" spans="1:10" x14ac:dyDescent="0.2">
      <c r="A5" s="83">
        <v>2</v>
      </c>
      <c r="B5" s="83">
        <v>33</v>
      </c>
      <c r="C5" s="83">
        <v>31</v>
      </c>
      <c r="D5" s="83">
        <v>37</v>
      </c>
      <c r="E5" s="83">
        <v>21</v>
      </c>
      <c r="F5" s="83">
        <v>21.7</v>
      </c>
      <c r="G5" s="83">
        <v>24</v>
      </c>
      <c r="H5" s="83">
        <v>0.77</v>
      </c>
      <c r="I5" s="83">
        <v>0.8</v>
      </c>
      <c r="J5" s="83">
        <v>0.84</v>
      </c>
    </row>
    <row r="6" spans="1:10" x14ac:dyDescent="0.2">
      <c r="A6" s="83">
        <v>4</v>
      </c>
      <c r="B6" s="83">
        <v>37</v>
      </c>
      <c r="C6" s="83">
        <v>43</v>
      </c>
      <c r="D6" s="83">
        <v>35</v>
      </c>
      <c r="E6" s="83">
        <v>24.5</v>
      </c>
      <c r="F6" s="83">
        <v>24.1</v>
      </c>
      <c r="G6" s="83">
        <v>24.5</v>
      </c>
      <c r="H6" s="83">
        <v>1.1000000000000001</v>
      </c>
      <c r="I6" s="83">
        <v>0.94</v>
      </c>
      <c r="J6" s="83">
        <v>1.0900000000000001</v>
      </c>
    </row>
    <row r="7" spans="1:10" x14ac:dyDescent="0.2">
      <c r="A7" s="83">
        <v>6</v>
      </c>
      <c r="B7" s="83">
        <v>45</v>
      </c>
      <c r="C7" s="83">
        <v>46</v>
      </c>
      <c r="D7" s="83">
        <v>45</v>
      </c>
      <c r="E7" s="83">
        <v>25.7</v>
      </c>
      <c r="F7" s="83">
        <v>26.6</v>
      </c>
      <c r="G7" s="83">
        <v>25.2</v>
      </c>
      <c r="H7" s="83">
        <v>1.02</v>
      </c>
      <c r="I7" s="83">
        <v>1.05</v>
      </c>
      <c r="J7" s="83">
        <v>1.03</v>
      </c>
    </row>
    <row r="8" spans="1:10" x14ac:dyDescent="0.2">
      <c r="A8" s="83">
        <v>8</v>
      </c>
      <c r="B8" s="83">
        <v>38</v>
      </c>
      <c r="C8" s="83">
        <v>42</v>
      </c>
      <c r="D8" s="83">
        <v>47</v>
      </c>
      <c r="E8" s="83">
        <v>29.6</v>
      </c>
      <c r="F8" s="83">
        <v>30.2</v>
      </c>
      <c r="G8" s="83">
        <v>31.4</v>
      </c>
      <c r="H8" s="83">
        <v>1.1599999999999999</v>
      </c>
      <c r="I8" s="83">
        <v>1.17</v>
      </c>
      <c r="J8" s="83">
        <v>1.29</v>
      </c>
    </row>
    <row r="9" spans="1:10" x14ac:dyDescent="0.2">
      <c r="A9" s="83">
        <v>24.5</v>
      </c>
      <c r="B9" s="83">
        <v>72</v>
      </c>
      <c r="C9" s="83">
        <v>82</v>
      </c>
      <c r="D9" s="83">
        <v>84</v>
      </c>
      <c r="E9" s="83">
        <v>59.4</v>
      </c>
      <c r="F9" s="83">
        <v>57.6</v>
      </c>
      <c r="G9" s="83">
        <v>60.7</v>
      </c>
      <c r="H9" s="83">
        <v>2.33</v>
      </c>
      <c r="I9" s="83">
        <v>2.27</v>
      </c>
      <c r="J9" s="83">
        <v>2.2999999999999998</v>
      </c>
    </row>
    <row r="10" spans="1:10" x14ac:dyDescent="0.2">
      <c r="A10" s="83">
        <v>32</v>
      </c>
      <c r="B10" s="83">
        <v>95</v>
      </c>
      <c r="C10" s="83">
        <v>99</v>
      </c>
      <c r="D10" s="83">
        <v>99</v>
      </c>
      <c r="E10" s="83">
        <v>60.2</v>
      </c>
      <c r="F10" s="83">
        <v>63.6</v>
      </c>
      <c r="G10" s="83">
        <v>60.7</v>
      </c>
      <c r="H10" s="83">
        <v>2.41</v>
      </c>
      <c r="I10" s="83">
        <v>2.31</v>
      </c>
      <c r="J10" s="83">
        <v>2.35</v>
      </c>
    </row>
    <row r="11" spans="1:10" x14ac:dyDescent="0.2">
      <c r="A11" s="83">
        <v>48.5</v>
      </c>
      <c r="B11" s="83"/>
      <c r="C11" s="83"/>
      <c r="D11" s="83"/>
      <c r="E11" s="83">
        <v>73.5</v>
      </c>
      <c r="F11" s="83">
        <v>73.5</v>
      </c>
      <c r="G11" s="83">
        <v>73.5</v>
      </c>
      <c r="H11" s="83">
        <v>3.3</v>
      </c>
      <c r="I11" s="83">
        <v>3.3</v>
      </c>
      <c r="J11" s="83">
        <v>3.3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F3346-EC1E-C84B-9222-A7FDF5DF094C}">
  <dimension ref="B2:N30"/>
  <sheetViews>
    <sheetView workbookViewId="0">
      <selection activeCell="J20" sqref="J20"/>
    </sheetView>
  </sheetViews>
  <sheetFormatPr baseColWidth="10" defaultColWidth="10.83203125" defaultRowHeight="16" x14ac:dyDescent="0.2"/>
  <cols>
    <col min="2" max="3" width="14.1640625" customWidth="1"/>
    <col min="4" max="4" width="13" customWidth="1"/>
  </cols>
  <sheetData>
    <row r="2" spans="2:14" ht="17" thickBot="1" x14ac:dyDescent="0.25"/>
    <row r="3" spans="2:14" ht="17" thickBot="1" x14ac:dyDescent="0.25">
      <c r="B3" s="14"/>
      <c r="C3" s="55" t="s">
        <v>0</v>
      </c>
      <c r="D3" s="56"/>
      <c r="E3" s="57"/>
      <c r="F3" s="55" t="s">
        <v>1</v>
      </c>
      <c r="G3" s="56"/>
      <c r="H3" s="56"/>
      <c r="I3" s="58" t="s">
        <v>2</v>
      </c>
      <c r="J3" s="59"/>
      <c r="K3" s="60"/>
      <c r="L3" s="61" t="s">
        <v>3</v>
      </c>
      <c r="M3" s="62"/>
      <c r="N3" s="63"/>
    </row>
    <row r="4" spans="2:14" x14ac:dyDescent="0.2">
      <c r="B4" s="7">
        <v>0</v>
      </c>
      <c r="C4" s="8">
        <v>0</v>
      </c>
      <c r="D4" s="9">
        <v>0</v>
      </c>
      <c r="E4" s="10">
        <v>0</v>
      </c>
      <c r="F4" s="8">
        <v>0</v>
      </c>
      <c r="G4" s="9">
        <v>0</v>
      </c>
      <c r="H4" s="9">
        <v>0</v>
      </c>
      <c r="I4" s="11">
        <v>0</v>
      </c>
      <c r="J4" s="12">
        <v>0</v>
      </c>
      <c r="K4" s="13">
        <v>0</v>
      </c>
      <c r="L4" s="11">
        <v>0</v>
      </c>
      <c r="M4" s="12">
        <v>0</v>
      </c>
      <c r="N4" s="13">
        <v>0</v>
      </c>
    </row>
    <row r="5" spans="2:14" x14ac:dyDescent="0.2">
      <c r="B5" s="16">
        <v>0.5</v>
      </c>
      <c r="C5" s="17">
        <v>33</v>
      </c>
      <c r="D5" s="1">
        <v>34</v>
      </c>
      <c r="E5" s="18">
        <v>34</v>
      </c>
      <c r="F5" s="17">
        <v>23.2</v>
      </c>
      <c r="G5" s="1">
        <v>24.4</v>
      </c>
      <c r="H5" s="1">
        <v>22.1</v>
      </c>
      <c r="I5" s="2">
        <v>0.97</v>
      </c>
      <c r="J5" s="1">
        <v>0.95</v>
      </c>
      <c r="K5" s="3">
        <v>0.97</v>
      </c>
      <c r="L5" s="2">
        <f>(I5*70.5)/0.5</f>
        <v>136.77000000000001</v>
      </c>
      <c r="M5" s="1">
        <f>(J5*70.5)/0.5</f>
        <v>133.94999999999999</v>
      </c>
      <c r="N5" s="3">
        <f>(K5*70.5)/0.5</f>
        <v>136.77000000000001</v>
      </c>
    </row>
    <row r="6" spans="2:14" x14ac:dyDescent="0.2">
      <c r="B6" s="16">
        <v>1</v>
      </c>
      <c r="C6" s="17">
        <v>44</v>
      </c>
      <c r="D6" s="1">
        <v>43</v>
      </c>
      <c r="E6" s="18">
        <v>45</v>
      </c>
      <c r="F6" s="17">
        <v>28.3</v>
      </c>
      <c r="G6" s="1">
        <v>27.6</v>
      </c>
      <c r="H6" s="1">
        <v>27.4</v>
      </c>
      <c r="I6" s="2">
        <v>1.06</v>
      </c>
      <c r="J6" s="1">
        <v>1.0900000000000001</v>
      </c>
      <c r="K6" s="3">
        <v>1.07</v>
      </c>
      <c r="L6" s="2">
        <f>(I6*70.5)/0.5</f>
        <v>149.46</v>
      </c>
      <c r="M6" s="1">
        <f t="shared" ref="M6:N14" si="0">(J6*70.5)/0.5</f>
        <v>153.69</v>
      </c>
      <c r="N6" s="3">
        <f t="shared" si="0"/>
        <v>150.87</v>
      </c>
    </row>
    <row r="7" spans="2:14" x14ac:dyDescent="0.2">
      <c r="B7" s="16">
        <v>2</v>
      </c>
      <c r="C7" s="17">
        <v>52</v>
      </c>
      <c r="D7" s="1">
        <v>51</v>
      </c>
      <c r="E7" s="18">
        <v>50</v>
      </c>
      <c r="F7" s="17">
        <v>36.4</v>
      </c>
      <c r="G7" s="1">
        <v>31.7</v>
      </c>
      <c r="H7" s="1">
        <v>32</v>
      </c>
      <c r="I7" s="2">
        <v>1.21</v>
      </c>
      <c r="J7" s="1">
        <v>1.22</v>
      </c>
      <c r="K7" s="3">
        <v>1.19</v>
      </c>
      <c r="L7" s="2">
        <f t="shared" ref="L7:L14" si="1">(I7*70.5)/0.5</f>
        <v>170.60999999999999</v>
      </c>
      <c r="M7" s="1">
        <f t="shared" si="0"/>
        <v>172.02</v>
      </c>
      <c r="N7" s="3">
        <f t="shared" si="0"/>
        <v>167.79</v>
      </c>
    </row>
    <row r="8" spans="2:14" x14ac:dyDescent="0.2">
      <c r="B8" s="16">
        <v>4</v>
      </c>
      <c r="C8" s="17">
        <v>52</v>
      </c>
      <c r="D8" s="1">
        <v>57</v>
      </c>
      <c r="E8" s="18">
        <v>55</v>
      </c>
      <c r="F8" s="17">
        <v>33.6</v>
      </c>
      <c r="G8" s="1">
        <v>31.5</v>
      </c>
      <c r="H8" s="1">
        <v>33.299999999999997</v>
      </c>
      <c r="I8" s="2">
        <v>1.38</v>
      </c>
      <c r="J8" s="1">
        <v>1.4</v>
      </c>
      <c r="K8" s="3">
        <v>1.4</v>
      </c>
      <c r="L8" s="2">
        <f t="shared" si="1"/>
        <v>194.57999999999998</v>
      </c>
      <c r="M8" s="1">
        <f t="shared" si="0"/>
        <v>197.39999999999998</v>
      </c>
      <c r="N8" s="3">
        <f t="shared" si="0"/>
        <v>197.39999999999998</v>
      </c>
    </row>
    <row r="9" spans="2:14" x14ac:dyDescent="0.2">
      <c r="B9" s="16">
        <v>6</v>
      </c>
      <c r="C9" s="17">
        <v>59</v>
      </c>
      <c r="D9" s="1">
        <v>68</v>
      </c>
      <c r="E9" s="18">
        <v>61</v>
      </c>
      <c r="F9" s="17">
        <v>38.299999999999997</v>
      </c>
      <c r="G9" s="1">
        <v>40.5</v>
      </c>
      <c r="H9" s="1">
        <v>37.4</v>
      </c>
      <c r="I9" s="2">
        <v>1.6</v>
      </c>
      <c r="J9" s="1">
        <v>1.61</v>
      </c>
      <c r="K9" s="3">
        <v>1.56</v>
      </c>
      <c r="L9" s="2">
        <f t="shared" si="1"/>
        <v>225.60000000000002</v>
      </c>
      <c r="M9" s="1">
        <f t="shared" si="0"/>
        <v>227.01000000000002</v>
      </c>
      <c r="N9" s="3">
        <f t="shared" si="0"/>
        <v>219.96</v>
      </c>
    </row>
    <row r="10" spans="2:14" x14ac:dyDescent="0.2">
      <c r="B10" s="16">
        <v>24</v>
      </c>
      <c r="C10" s="17">
        <v>85</v>
      </c>
      <c r="D10" s="1">
        <v>86</v>
      </c>
      <c r="E10" s="18">
        <v>89</v>
      </c>
      <c r="F10" s="17">
        <v>57</v>
      </c>
      <c r="G10" s="1">
        <v>55.8</v>
      </c>
      <c r="H10" s="1">
        <v>58.2</v>
      </c>
      <c r="I10" s="17">
        <v>2.21</v>
      </c>
      <c r="J10" s="1">
        <v>2</v>
      </c>
      <c r="K10" s="18">
        <v>2.2000000000000002</v>
      </c>
      <c r="L10" s="2">
        <f t="shared" si="1"/>
        <v>311.61</v>
      </c>
      <c r="M10" s="1">
        <f t="shared" si="0"/>
        <v>282</v>
      </c>
      <c r="N10" s="3">
        <f t="shared" si="0"/>
        <v>310.20000000000005</v>
      </c>
    </row>
    <row r="11" spans="2:14" x14ac:dyDescent="0.2">
      <c r="B11" s="16">
        <v>32</v>
      </c>
      <c r="C11" s="17">
        <v>98</v>
      </c>
      <c r="D11" s="1">
        <v>87</v>
      </c>
      <c r="E11" s="18">
        <v>94</v>
      </c>
      <c r="F11" s="17">
        <v>57.5</v>
      </c>
      <c r="G11" s="1">
        <v>62.3</v>
      </c>
      <c r="H11" s="1">
        <v>60.6</v>
      </c>
      <c r="I11" s="2">
        <v>2.48</v>
      </c>
      <c r="J11" s="1">
        <v>2.41</v>
      </c>
      <c r="K11" s="3">
        <v>2.4500000000000002</v>
      </c>
      <c r="L11" s="2">
        <f t="shared" si="1"/>
        <v>349.68</v>
      </c>
      <c r="M11" s="1">
        <f t="shared" si="0"/>
        <v>339.81</v>
      </c>
      <c r="N11" s="3">
        <f t="shared" si="0"/>
        <v>345.45000000000005</v>
      </c>
    </row>
    <row r="12" spans="2:14" x14ac:dyDescent="0.2">
      <c r="B12" s="16">
        <v>48</v>
      </c>
      <c r="C12" s="17">
        <v>99</v>
      </c>
      <c r="D12" s="1">
        <v>99</v>
      </c>
      <c r="E12" s="18">
        <v>99</v>
      </c>
      <c r="F12" s="17">
        <v>73.5</v>
      </c>
      <c r="G12" s="1">
        <v>73.2</v>
      </c>
      <c r="H12" s="1">
        <v>73.5</v>
      </c>
      <c r="I12" s="2">
        <v>2.92</v>
      </c>
      <c r="J12" s="1">
        <v>2.94</v>
      </c>
      <c r="K12" s="3">
        <v>2.93</v>
      </c>
      <c r="L12" s="2">
        <f t="shared" si="1"/>
        <v>411.71999999999997</v>
      </c>
      <c r="M12" s="1">
        <f t="shared" si="0"/>
        <v>414.54</v>
      </c>
      <c r="N12" s="3">
        <f t="shared" si="0"/>
        <v>413.13</v>
      </c>
    </row>
    <row r="13" spans="2:14" x14ac:dyDescent="0.2">
      <c r="B13" s="16">
        <v>72</v>
      </c>
      <c r="C13" s="17"/>
      <c r="D13" s="1"/>
      <c r="E13" s="18"/>
      <c r="F13" s="17">
        <v>73.5</v>
      </c>
      <c r="G13" s="1">
        <v>73.5</v>
      </c>
      <c r="H13" s="1">
        <v>73.5</v>
      </c>
      <c r="I13" s="2">
        <v>3.3</v>
      </c>
      <c r="J13" s="1">
        <v>3.3</v>
      </c>
      <c r="K13" s="3">
        <v>3.3</v>
      </c>
      <c r="L13" s="2">
        <f t="shared" si="1"/>
        <v>465.29999999999995</v>
      </c>
      <c r="M13" s="1">
        <f t="shared" si="0"/>
        <v>465.29999999999995</v>
      </c>
      <c r="N13" s="3">
        <f t="shared" si="0"/>
        <v>465.29999999999995</v>
      </c>
    </row>
    <row r="14" spans="2:14" ht="17" thickBot="1" x14ac:dyDescent="0.25">
      <c r="B14" s="19"/>
      <c r="C14" s="20"/>
      <c r="D14" s="21"/>
      <c r="E14" s="22"/>
      <c r="F14" s="20"/>
      <c r="G14" s="21"/>
      <c r="H14" s="21"/>
      <c r="I14" s="4"/>
      <c r="J14" s="5"/>
      <c r="K14" s="6"/>
      <c r="L14" s="4">
        <f t="shared" si="1"/>
        <v>0</v>
      </c>
      <c r="M14" s="5">
        <f t="shared" si="0"/>
        <v>0</v>
      </c>
      <c r="N14" s="6">
        <f t="shared" si="0"/>
        <v>0</v>
      </c>
    </row>
    <row r="15" spans="2:14" x14ac:dyDescent="0.2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x14ac:dyDescent="0.2">
      <c r="B16" s="15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7" thickBot="1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7" thickBot="1" x14ac:dyDescent="0.25">
      <c r="B18" s="15"/>
      <c r="C18" s="64" t="s">
        <v>0</v>
      </c>
      <c r="D18" s="65"/>
      <c r="E18" s="66"/>
      <c r="F18" s="64" t="s">
        <v>1</v>
      </c>
      <c r="G18" s="65"/>
      <c r="H18" s="66"/>
      <c r="I18" s="65" t="s">
        <v>2</v>
      </c>
      <c r="J18" s="65"/>
      <c r="K18" s="66"/>
      <c r="L18" s="1"/>
      <c r="M18" s="1"/>
      <c r="N18" s="1"/>
    </row>
    <row r="19" spans="2:14" x14ac:dyDescent="0.2">
      <c r="B19" s="1"/>
      <c r="C19" s="2">
        <f t="shared" ref="C19:E25" si="2">(C4/99)*100</f>
        <v>0</v>
      </c>
      <c r="D19" s="1">
        <f t="shared" si="2"/>
        <v>0</v>
      </c>
      <c r="E19" s="3">
        <f t="shared" si="2"/>
        <v>0</v>
      </c>
      <c r="F19" s="2">
        <f t="shared" ref="F19:H25" si="3">(F4/73.5)*100</f>
        <v>0</v>
      </c>
      <c r="G19" s="1">
        <f t="shared" si="3"/>
        <v>0</v>
      </c>
      <c r="H19" s="3">
        <f t="shared" si="3"/>
        <v>0</v>
      </c>
      <c r="I19" s="1">
        <f t="shared" ref="I19:I29" si="4">(L4/465.3)*100</f>
        <v>0</v>
      </c>
      <c r="J19" s="1">
        <f t="shared" ref="J19:J29" si="5">(M4/465.3)*100</f>
        <v>0</v>
      </c>
      <c r="K19" s="3">
        <f t="shared" ref="K19:K29" si="6">(N4/465.3)*100</f>
        <v>0</v>
      </c>
    </row>
    <row r="20" spans="2:14" x14ac:dyDescent="0.2">
      <c r="B20" s="1"/>
      <c r="C20" s="2">
        <f t="shared" si="2"/>
        <v>33.333333333333329</v>
      </c>
      <c r="D20" s="1">
        <f t="shared" si="2"/>
        <v>34.343434343434339</v>
      </c>
      <c r="E20" s="3">
        <f t="shared" si="2"/>
        <v>34.343434343434339</v>
      </c>
      <c r="F20" s="2">
        <f t="shared" si="3"/>
        <v>31.564625850340132</v>
      </c>
      <c r="G20" s="1">
        <f t="shared" si="3"/>
        <v>33.197278911564624</v>
      </c>
      <c r="H20" s="3">
        <f t="shared" si="3"/>
        <v>30.068027210884356</v>
      </c>
      <c r="I20" s="1">
        <f t="shared" si="4"/>
        <v>29.393939393939394</v>
      </c>
      <c r="J20" s="1">
        <f t="shared" si="5"/>
        <v>28.787878787878785</v>
      </c>
      <c r="K20" s="3">
        <f t="shared" si="6"/>
        <v>29.393939393939394</v>
      </c>
    </row>
    <row r="21" spans="2:14" x14ac:dyDescent="0.2">
      <c r="B21" s="1"/>
      <c r="C21" s="2">
        <f t="shared" si="2"/>
        <v>44.444444444444443</v>
      </c>
      <c r="D21" s="1">
        <f t="shared" si="2"/>
        <v>43.43434343434344</v>
      </c>
      <c r="E21" s="3">
        <f t="shared" si="2"/>
        <v>45.454545454545453</v>
      </c>
      <c r="F21" s="2">
        <f t="shared" si="3"/>
        <v>38.503401360544217</v>
      </c>
      <c r="G21" s="1">
        <f t="shared" si="3"/>
        <v>37.551020408163268</v>
      </c>
      <c r="H21" s="3">
        <f t="shared" si="3"/>
        <v>37.278911564625851</v>
      </c>
      <c r="I21" s="1">
        <f t="shared" si="4"/>
        <v>32.121212121212125</v>
      </c>
      <c r="J21" s="1">
        <f t="shared" si="5"/>
        <v>33.030303030303024</v>
      </c>
      <c r="K21" s="3">
        <f t="shared" si="6"/>
        <v>32.424242424242422</v>
      </c>
    </row>
    <row r="22" spans="2:14" x14ac:dyDescent="0.2">
      <c r="B22" s="1"/>
      <c r="C22" s="2">
        <f t="shared" si="2"/>
        <v>52.525252525252533</v>
      </c>
      <c r="D22" s="1">
        <f t="shared" si="2"/>
        <v>51.515151515151516</v>
      </c>
      <c r="E22" s="3">
        <f t="shared" si="2"/>
        <v>50.505050505050505</v>
      </c>
      <c r="F22" s="2">
        <f t="shared" si="3"/>
        <v>49.523809523809518</v>
      </c>
      <c r="G22" s="1">
        <f t="shared" si="3"/>
        <v>43.129251700680271</v>
      </c>
      <c r="H22" s="3">
        <f t="shared" si="3"/>
        <v>43.537414965986393</v>
      </c>
      <c r="I22" s="1">
        <f t="shared" si="4"/>
        <v>36.666666666666664</v>
      </c>
      <c r="J22" s="1">
        <f t="shared" si="5"/>
        <v>36.969696969696969</v>
      </c>
      <c r="K22" s="3">
        <f t="shared" si="6"/>
        <v>36.060606060606062</v>
      </c>
    </row>
    <row r="23" spans="2:14" x14ac:dyDescent="0.2">
      <c r="B23" s="1"/>
      <c r="C23" s="2">
        <f t="shared" si="2"/>
        <v>52.525252525252533</v>
      </c>
      <c r="D23" s="1">
        <f t="shared" si="2"/>
        <v>57.575757575757578</v>
      </c>
      <c r="E23" s="3">
        <f t="shared" si="2"/>
        <v>55.555555555555557</v>
      </c>
      <c r="F23" s="2">
        <f t="shared" si="3"/>
        <v>45.714285714285715</v>
      </c>
      <c r="G23" s="1">
        <f t="shared" si="3"/>
        <v>42.857142857142854</v>
      </c>
      <c r="H23" s="3">
        <f t="shared" si="3"/>
        <v>45.306122448979586</v>
      </c>
      <c r="I23" s="1">
        <f t="shared" si="4"/>
        <v>41.818181818181813</v>
      </c>
      <c r="J23" s="1">
        <f t="shared" si="5"/>
        <v>42.424242424242422</v>
      </c>
      <c r="K23" s="3">
        <f t="shared" si="6"/>
        <v>42.424242424242422</v>
      </c>
    </row>
    <row r="24" spans="2:14" x14ac:dyDescent="0.2">
      <c r="B24" s="1"/>
      <c r="C24" s="2">
        <f t="shared" si="2"/>
        <v>59.595959595959592</v>
      </c>
      <c r="D24" s="1">
        <f t="shared" si="2"/>
        <v>68.686868686868678</v>
      </c>
      <c r="E24" s="3">
        <f t="shared" si="2"/>
        <v>61.616161616161612</v>
      </c>
      <c r="F24" s="2">
        <f t="shared" si="3"/>
        <v>52.108843537414963</v>
      </c>
      <c r="G24" s="1">
        <f t="shared" si="3"/>
        <v>55.102040816326522</v>
      </c>
      <c r="H24" s="3">
        <f t="shared" si="3"/>
        <v>50.884353741496604</v>
      </c>
      <c r="I24" s="1">
        <f t="shared" si="4"/>
        <v>48.484848484848484</v>
      </c>
      <c r="J24" s="1">
        <f t="shared" si="5"/>
        <v>48.787878787878789</v>
      </c>
      <c r="K24" s="3">
        <f t="shared" si="6"/>
        <v>47.272727272727273</v>
      </c>
    </row>
    <row r="25" spans="2:14" x14ac:dyDescent="0.2">
      <c r="B25" s="1"/>
      <c r="C25" s="2">
        <f t="shared" si="2"/>
        <v>85.858585858585855</v>
      </c>
      <c r="D25" s="1">
        <f t="shared" si="2"/>
        <v>86.868686868686879</v>
      </c>
      <c r="E25" s="3">
        <f t="shared" si="2"/>
        <v>89.898989898989896</v>
      </c>
      <c r="F25" s="2">
        <f t="shared" si="3"/>
        <v>77.551020408163268</v>
      </c>
      <c r="G25" s="1">
        <f t="shared" si="3"/>
        <v>75.91836734693878</v>
      </c>
      <c r="H25" s="3">
        <f t="shared" si="3"/>
        <v>79.183673469387756</v>
      </c>
      <c r="I25" s="1">
        <f t="shared" si="4"/>
        <v>66.969696969696969</v>
      </c>
      <c r="J25" s="1">
        <f t="shared" si="5"/>
        <v>60.606060606060609</v>
      </c>
      <c r="K25" s="3">
        <f t="shared" si="6"/>
        <v>66.666666666666671</v>
      </c>
    </row>
    <row r="26" spans="2:14" x14ac:dyDescent="0.2">
      <c r="B26" s="1"/>
      <c r="C26" s="11">
        <f t="shared" ref="C26:E26" si="7">(C11/99)*100</f>
        <v>98.98989898989899</v>
      </c>
      <c r="D26" s="12">
        <f t="shared" si="7"/>
        <v>87.878787878787875</v>
      </c>
      <c r="E26" s="13">
        <f t="shared" si="7"/>
        <v>94.949494949494948</v>
      </c>
      <c r="F26" s="2">
        <f t="shared" ref="F26:H26" si="8">(F11/73.5)*100</f>
        <v>78.231292517006807</v>
      </c>
      <c r="G26" s="1">
        <f t="shared" si="8"/>
        <v>84.761904761904759</v>
      </c>
      <c r="H26" s="3">
        <f t="shared" si="8"/>
        <v>82.448979591836732</v>
      </c>
      <c r="I26" s="1">
        <f t="shared" si="4"/>
        <v>75.151515151515142</v>
      </c>
      <c r="J26" s="1">
        <f t="shared" si="5"/>
        <v>73.030303030303031</v>
      </c>
      <c r="K26" s="3">
        <f t="shared" si="6"/>
        <v>74.242424242424249</v>
      </c>
    </row>
    <row r="27" spans="2:14" x14ac:dyDescent="0.2">
      <c r="B27" s="1"/>
      <c r="C27" s="2">
        <f t="shared" ref="C27:E27" si="9">(C12/99)*100</f>
        <v>100</v>
      </c>
      <c r="D27" s="1">
        <f t="shared" si="9"/>
        <v>100</v>
      </c>
      <c r="E27" s="3">
        <f t="shared" si="9"/>
        <v>100</v>
      </c>
      <c r="F27" s="11">
        <f t="shared" ref="F27:H27" si="10">(F12/73.5)*100</f>
        <v>100</v>
      </c>
      <c r="G27" s="12">
        <f t="shared" si="10"/>
        <v>99.591836734693885</v>
      </c>
      <c r="H27" s="13">
        <f t="shared" si="10"/>
        <v>100</v>
      </c>
      <c r="I27" s="12">
        <f t="shared" si="4"/>
        <v>88.48484848484847</v>
      </c>
      <c r="J27" s="12">
        <f t="shared" si="5"/>
        <v>89.090909090909093</v>
      </c>
      <c r="K27" s="13">
        <f t="shared" si="6"/>
        <v>88.787878787878782</v>
      </c>
    </row>
    <row r="28" spans="2:14" x14ac:dyDescent="0.2">
      <c r="B28" s="1"/>
      <c r="C28" s="2">
        <f t="shared" ref="C28:E28" si="11">(C13/99)*100</f>
        <v>0</v>
      </c>
      <c r="D28" s="1">
        <f t="shared" si="11"/>
        <v>0</v>
      </c>
      <c r="E28" s="3">
        <f t="shared" si="11"/>
        <v>0</v>
      </c>
      <c r="F28" s="2">
        <f t="shared" ref="F28:H28" si="12">(F13/73.5)*100</f>
        <v>100</v>
      </c>
      <c r="G28" s="1">
        <f t="shared" si="12"/>
        <v>100</v>
      </c>
      <c r="H28" s="3">
        <f t="shared" si="12"/>
        <v>100</v>
      </c>
      <c r="I28" s="1">
        <f t="shared" si="4"/>
        <v>99.999999999999986</v>
      </c>
      <c r="J28" s="1">
        <f t="shared" si="5"/>
        <v>99.999999999999986</v>
      </c>
      <c r="K28" s="3">
        <f t="shared" si="6"/>
        <v>99.999999999999986</v>
      </c>
    </row>
    <row r="29" spans="2:14" ht="17" thickBot="1" x14ac:dyDescent="0.25">
      <c r="B29" s="1"/>
      <c r="C29" s="4">
        <f t="shared" ref="C29:E29" si="13">(C14/99)*100</f>
        <v>0</v>
      </c>
      <c r="D29" s="5">
        <f t="shared" si="13"/>
        <v>0</v>
      </c>
      <c r="E29" s="6">
        <f t="shared" si="13"/>
        <v>0</v>
      </c>
      <c r="F29" s="4">
        <f t="shared" ref="F29:H29" si="14">(F14/73.5)*100</f>
        <v>0</v>
      </c>
      <c r="G29" s="5">
        <f t="shared" si="14"/>
        <v>0</v>
      </c>
      <c r="H29" s="6">
        <f t="shared" si="14"/>
        <v>0</v>
      </c>
      <c r="I29" s="5">
        <f t="shared" si="4"/>
        <v>0</v>
      </c>
      <c r="J29" s="5">
        <f t="shared" si="5"/>
        <v>0</v>
      </c>
      <c r="K29" s="6">
        <f t="shared" si="6"/>
        <v>0</v>
      </c>
    </row>
    <row r="30" spans="2:14" x14ac:dyDescent="0.2">
      <c r="B30" s="1"/>
    </row>
  </sheetData>
  <mergeCells count="7">
    <mergeCell ref="C3:E3"/>
    <mergeCell ref="F3:H3"/>
    <mergeCell ref="I3:K3"/>
    <mergeCell ref="L3:N3"/>
    <mergeCell ref="C18:E18"/>
    <mergeCell ref="F18:H18"/>
    <mergeCell ref="I18:K18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530C8-1C1B-1C4E-BA34-7F57F1125971}">
  <dimension ref="A1:J12"/>
  <sheetViews>
    <sheetView workbookViewId="0">
      <selection activeCell="L34" sqref="L34"/>
    </sheetView>
  </sheetViews>
  <sheetFormatPr baseColWidth="10" defaultRowHeight="16" x14ac:dyDescent="0.2"/>
  <sheetData>
    <row r="1" spans="1:10" x14ac:dyDescent="0.2">
      <c r="A1" s="82" t="s">
        <v>6</v>
      </c>
      <c r="B1" s="82" t="s">
        <v>21</v>
      </c>
      <c r="C1" s="82" t="s">
        <v>22</v>
      </c>
      <c r="D1" s="82" t="s">
        <v>23</v>
      </c>
      <c r="E1" s="82" t="s">
        <v>24</v>
      </c>
      <c r="F1" s="82" t="s">
        <v>25</v>
      </c>
      <c r="G1" s="82" t="s">
        <v>26</v>
      </c>
      <c r="H1" s="82" t="s">
        <v>27</v>
      </c>
      <c r="I1" s="82" t="s">
        <v>28</v>
      </c>
      <c r="J1" s="82" t="s">
        <v>29</v>
      </c>
    </row>
    <row r="2" spans="1:10" x14ac:dyDescent="0.2">
      <c r="A2" s="84">
        <v>0</v>
      </c>
      <c r="B2" s="84">
        <v>0</v>
      </c>
      <c r="C2" s="84">
        <v>0</v>
      </c>
      <c r="D2" s="84">
        <v>0</v>
      </c>
      <c r="E2" s="84">
        <v>0</v>
      </c>
      <c r="F2" s="84">
        <v>0</v>
      </c>
      <c r="G2" s="84">
        <v>0</v>
      </c>
      <c r="H2" s="84">
        <v>0</v>
      </c>
      <c r="I2" s="84">
        <v>0</v>
      </c>
      <c r="J2" s="84">
        <v>0</v>
      </c>
    </row>
    <row r="3" spans="1:10" x14ac:dyDescent="0.2">
      <c r="A3" s="84">
        <v>0.5</v>
      </c>
      <c r="B3" s="84">
        <v>33</v>
      </c>
      <c r="C3" s="84">
        <v>34</v>
      </c>
      <c r="D3" s="84">
        <v>34</v>
      </c>
      <c r="E3" s="84">
        <v>23.2</v>
      </c>
      <c r="F3" s="84">
        <v>24.4</v>
      </c>
      <c r="G3" s="84">
        <v>22.1</v>
      </c>
      <c r="H3" s="84">
        <v>0.97</v>
      </c>
      <c r="I3" s="84">
        <v>0.95</v>
      </c>
      <c r="J3" s="84">
        <v>0.97</v>
      </c>
    </row>
    <row r="4" spans="1:10" x14ac:dyDescent="0.2">
      <c r="A4" s="84">
        <v>1</v>
      </c>
      <c r="B4" s="84">
        <v>44</v>
      </c>
      <c r="C4" s="84">
        <v>43</v>
      </c>
      <c r="D4" s="84">
        <v>45</v>
      </c>
      <c r="E4" s="84">
        <v>28.3</v>
      </c>
      <c r="F4" s="84">
        <v>27.6</v>
      </c>
      <c r="G4" s="84">
        <v>27.4</v>
      </c>
      <c r="H4" s="84">
        <v>1.06</v>
      </c>
      <c r="I4" s="84">
        <v>1.0900000000000001</v>
      </c>
      <c r="J4" s="84">
        <v>1.07</v>
      </c>
    </row>
    <row r="5" spans="1:10" x14ac:dyDescent="0.2">
      <c r="A5" s="84">
        <v>2</v>
      </c>
      <c r="B5" s="84">
        <v>52</v>
      </c>
      <c r="C5" s="84">
        <v>51</v>
      </c>
      <c r="D5" s="84">
        <v>50</v>
      </c>
      <c r="E5" s="84">
        <v>36.4</v>
      </c>
      <c r="F5" s="84">
        <v>31.7</v>
      </c>
      <c r="G5" s="84">
        <v>32</v>
      </c>
      <c r="H5" s="84">
        <v>1.21</v>
      </c>
      <c r="I5" s="84">
        <v>1.22</v>
      </c>
      <c r="J5" s="84">
        <v>1.19</v>
      </c>
    </row>
    <row r="6" spans="1:10" x14ac:dyDescent="0.2">
      <c r="A6" s="84">
        <v>4</v>
      </c>
      <c r="B6" s="84">
        <v>52</v>
      </c>
      <c r="C6" s="84">
        <v>57</v>
      </c>
      <c r="D6" s="84">
        <v>55</v>
      </c>
      <c r="E6" s="84">
        <v>33.6</v>
      </c>
      <c r="F6" s="84">
        <v>31.5</v>
      </c>
      <c r="G6" s="84">
        <v>33.299999999999997</v>
      </c>
      <c r="H6" s="84">
        <v>1.38</v>
      </c>
      <c r="I6" s="84">
        <v>1.4</v>
      </c>
      <c r="J6" s="84">
        <v>1.4</v>
      </c>
    </row>
    <row r="7" spans="1:10" x14ac:dyDescent="0.2">
      <c r="A7" s="84">
        <v>6</v>
      </c>
      <c r="B7" s="84">
        <v>59</v>
      </c>
      <c r="C7" s="84">
        <v>68</v>
      </c>
      <c r="D7" s="84">
        <v>61</v>
      </c>
      <c r="E7" s="84">
        <v>38.299999999999997</v>
      </c>
      <c r="F7" s="84">
        <v>40.5</v>
      </c>
      <c r="G7" s="84">
        <v>37.4</v>
      </c>
      <c r="H7" s="84">
        <v>1.6</v>
      </c>
      <c r="I7" s="84">
        <v>1.61</v>
      </c>
      <c r="J7" s="84">
        <v>1.56</v>
      </c>
    </row>
    <row r="8" spans="1:10" x14ac:dyDescent="0.2">
      <c r="A8" s="84">
        <v>24</v>
      </c>
      <c r="B8" s="84">
        <v>85</v>
      </c>
      <c r="C8" s="84">
        <v>86</v>
      </c>
      <c r="D8" s="84">
        <v>89</v>
      </c>
      <c r="E8" s="84">
        <v>57</v>
      </c>
      <c r="F8" s="84">
        <v>55.8</v>
      </c>
      <c r="G8" s="84">
        <v>58.2</v>
      </c>
      <c r="H8" s="84">
        <v>2.21</v>
      </c>
      <c r="I8" s="84">
        <v>2</v>
      </c>
      <c r="J8" s="84">
        <v>2.2000000000000002</v>
      </c>
    </row>
    <row r="9" spans="1:10" x14ac:dyDescent="0.2">
      <c r="A9" s="84">
        <v>32</v>
      </c>
      <c r="B9" s="84">
        <v>98</v>
      </c>
      <c r="C9" s="84">
        <v>87</v>
      </c>
      <c r="D9" s="84">
        <v>94</v>
      </c>
      <c r="E9" s="84">
        <v>57.5</v>
      </c>
      <c r="F9" s="84">
        <v>62.3</v>
      </c>
      <c r="G9" s="84">
        <v>60.6</v>
      </c>
      <c r="H9" s="84">
        <v>2.48</v>
      </c>
      <c r="I9" s="84">
        <v>2.41</v>
      </c>
      <c r="J9" s="84">
        <v>2.4500000000000002</v>
      </c>
    </row>
    <row r="10" spans="1:10" x14ac:dyDescent="0.2">
      <c r="A10" s="84">
        <v>48</v>
      </c>
      <c r="B10" s="84">
        <v>99</v>
      </c>
      <c r="C10" s="84">
        <v>99</v>
      </c>
      <c r="D10" s="84">
        <v>99</v>
      </c>
      <c r="E10" s="84">
        <v>73.5</v>
      </c>
      <c r="F10" s="84">
        <v>73.2</v>
      </c>
      <c r="G10" s="84">
        <v>73.5</v>
      </c>
      <c r="H10" s="84">
        <v>2.92</v>
      </c>
      <c r="I10" s="84">
        <v>2.94</v>
      </c>
      <c r="J10" s="84">
        <v>2.93</v>
      </c>
    </row>
    <row r="11" spans="1:10" x14ac:dyDescent="0.2">
      <c r="A11" s="84">
        <v>72</v>
      </c>
      <c r="B11" s="84"/>
      <c r="C11" s="84"/>
      <c r="D11" s="84"/>
      <c r="E11" s="84">
        <v>73.5</v>
      </c>
      <c r="F11" s="84">
        <v>73.5</v>
      </c>
      <c r="G11" s="84">
        <v>73.5</v>
      </c>
      <c r="H11" s="84">
        <v>3.3</v>
      </c>
      <c r="I11" s="84">
        <v>3.3</v>
      </c>
      <c r="J11" s="84">
        <v>3.3</v>
      </c>
    </row>
    <row r="12" spans="1:10" x14ac:dyDescent="0.2">
      <c r="A12" s="84"/>
      <c r="B12" s="84"/>
      <c r="C12" s="84"/>
      <c r="D12" s="84"/>
      <c r="E12" s="84"/>
      <c r="F12" s="84"/>
      <c r="G12" s="84"/>
      <c r="H12" s="84"/>
      <c r="I12" s="84"/>
      <c r="J12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Electrosynthesized Pure Struvit</vt:lpstr>
      <vt:lpstr>EPSRawData</vt:lpstr>
      <vt:lpstr>Struvite + NAHCO3</vt:lpstr>
      <vt:lpstr>SNAHCO3RawData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Perdomo, Alaine A.</dc:creator>
  <cp:lastModifiedBy>Perdomo, Alaine A.</cp:lastModifiedBy>
  <dcterms:created xsi:type="dcterms:W3CDTF">2026-02-13T19:06:52Z</dcterms:created>
  <dcterms:modified xsi:type="dcterms:W3CDTF">2026-03-24T01:01:34Z</dcterms:modified>
</cp:coreProperties>
</file>